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duct Backlog" sheetId="2" state="visible" r:id="rId4"/>
    <sheet name="Sprint 0 Backlog" sheetId="3" state="visible" r:id="rId5"/>
    <sheet name="Daily Log" sheetId="4" state="visible" r:id="rId6"/>
    <sheet name="Metrics Dashboard" sheetId="5" state="visible" r:id="rId7"/>
    <sheet name="Burndown" sheetId="6" state="visible" r:id="rId8"/>
    <sheet name="Risk Register" sheetId="7" state="visible" r:id="rId9"/>
    <sheet name="Job App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<sst xmlns="http://schemas.openxmlformats.org/spreadsheetml/2006/main" count="649" uniqueCount="321">
  <si>
    <t xml:space="preserve">Project NOVA — Tracking Workbook</t>
  </si>
  <si>
    <t xml:space="preserve">Companion to Charter v1.1  ·  Issued April 27, 2026  ·  Updated April 27, 2026 (RACI revision)</t>
  </si>
  <si>
    <t xml:space="preserve">How to use this workbook</t>
  </si>
  <si>
    <t xml:space="preserve">1.</t>
  </si>
  <si>
    <t xml:space="preserve">Open daily. Spend 5 minutes in the Daily Log tab logging yesterday/today/blockers + hours.</t>
  </si>
  <si>
    <t xml:space="preserve">2.</t>
  </si>
  <si>
    <t xml:space="preserve">Sprint Planning Day: copy stories from Product Backlog into the active Sprint Backlog tab.</t>
  </si>
  <si>
    <t xml:space="preserve">3.</t>
  </si>
  <si>
    <t xml:space="preserve">Sprint Review Day: mark stories Done, capture screenshots, update Metrics Dashboard.</t>
  </si>
  <si>
    <t xml:space="preserve">4.</t>
  </si>
  <si>
    <t xml:space="preserve">Sprint Retro Day: write 3 lines in Daily Log under that day's Notes column.</t>
  </si>
  <si>
    <t xml:space="preserve">5.</t>
  </si>
  <si>
    <t xml:space="preserve">Job Apps tab: log every application you submit. The dashboard auto-counts those referencing NOVA.</t>
  </si>
  <si>
    <t xml:space="preserve">Tabs in this workbook</t>
  </si>
  <si>
    <t xml:space="preserve">•</t>
  </si>
  <si>
    <t xml:space="preserve">Product Backlog — every user story across all 6 sprints, prioritised, sized.</t>
  </si>
  <si>
    <t xml:space="preserve">Sprint 0 Backlog — committed stories for Apr 27–May 6, with daily breakdown.</t>
  </si>
  <si>
    <t xml:space="preserve">Daily Log — one row per calendar day; auto-flags consistency.</t>
  </si>
  <si>
    <t xml:space="preserve">Metrics Dashboard — live status against the 5 SMART targets.</t>
  </si>
  <si>
    <t xml:space="preserve">Burndown — story-point burndown for Sprint 0.</t>
  </si>
  <si>
    <t xml:space="preserve">Risk Register — top risks with likelihood × impact.</t>
  </si>
  <si>
    <t xml:space="preserve">Job Apps — application tracker; auto-counts NOVA-referenced apps.</t>
  </si>
  <si>
    <t xml:space="preserve">Discipline rules (read aloud at every Monday standup)</t>
  </si>
  <si>
    <t xml:space="preserve">→</t>
  </si>
  <si>
    <t xml:space="preserve">Wed/Sun (or Sat/Sun) buffer days are NON-NEGOTIABLE. Missing them = retro item.</t>
  </si>
  <si>
    <t xml:space="preserve">Floor commitment on busy days = 1 line in Daily Log. That counts as a logged day.</t>
  </si>
  <si>
    <t xml:space="preserve">Mid-sprint scope additions are forbidden. Park them in Product Backlog as 'Later'.</t>
  </si>
  <si>
    <t xml:space="preserve">If a sprint slips, descope before extending — protect the 60-day end date.</t>
  </si>
  <si>
    <t xml:space="preserve">Working Environment &amp; RACI</t>
  </si>
  <si>
    <t xml:space="preserve">Added in v1.1 — formal split of project responsibilities between human BA (Shrutika) and AI Project Manager (Claude).</t>
  </si>
  <si>
    <t xml:space="preserve">Role</t>
  </si>
  <si>
    <t xml:space="preserve">Person</t>
  </si>
  <si>
    <t xml:space="preserve">Responsibilities</t>
  </si>
  <si>
    <t xml:space="preserve">Project Manager</t>
  </si>
  <si>
    <t xml:space="preserve">Claude</t>
  </si>
  <si>
    <t xml:space="preserve">Planning, sprint management, ceremony facilitation, asking the right questions, accountability, risk management, status reporting</t>
  </si>
  <si>
    <t xml:space="preserve">Product Owner</t>
  </si>
  <si>
    <t xml:space="preserve">Shrutika</t>
  </si>
  <si>
    <t xml:space="preserve">Priorities, accept / reject sprint output, backlog ordering</t>
  </si>
  <si>
    <t xml:space="preserve">Business Analyst</t>
  </si>
  <si>
    <t xml:space="preserve">Requirements elicitation, user stories, acceptance criteria, process flows, stakeholder engagement (with self as end-user)</t>
  </si>
  <si>
    <t xml:space="preserve">Developer</t>
  </si>
  <si>
    <t xml:space="preserve">Build, integrate, test</t>
  </si>
  <si>
    <t xml:space="preserve">Tester / UAT</t>
  </si>
  <si>
    <t xml:space="preserve">Validate acceptance criteria with real personal data</t>
  </si>
  <si>
    <t xml:space="preserve">Stakeholder</t>
  </si>
  <si>
    <t xml:space="preserve">End-user persona — the job-seeker NOVA serves</t>
  </si>
  <si>
    <t xml:space="preserve">Note: When you discuss NOVA with recruiters, frame it as 'Led BA work and partnered with an AI co-pilot acting as Project Manager.' Honest, modern, and stronger than 'I did everything solo.'</t>
  </si>
  <si>
    <t xml:space="preserve">Product Backlog — Project NOVA</t>
  </si>
  <si>
    <t xml:space="preserve">Stories prioritized MoSCoW; estimated in story points (1, 2, 3, 5, 8). 1 SP ≈ 2 hrs. v1.1 — Owner column split by RACI.</t>
  </si>
  <si>
    <t xml:space="preserve">ID</t>
  </si>
  <si>
    <t xml:space="preserve">Sprint</t>
  </si>
  <si>
    <t xml:space="preserve">User Story</t>
  </si>
  <si>
    <t xml:space="preserve">Acceptance Criteria</t>
  </si>
  <si>
    <t xml:space="preserve">SP</t>
  </si>
  <si>
    <t xml:space="preserve">Priority</t>
  </si>
  <si>
    <t xml:space="preserve">Status</t>
  </si>
  <si>
    <t xml:space="preserve">Owner</t>
  </si>
  <si>
    <t xml:space="preserve">US-001</t>
  </si>
  <si>
    <t xml:space="preserve">S0</t>
  </si>
  <si>
    <t xml:space="preserve">As the BA, I want a signed Project Charter, so that scope and goals are locked.</t>
  </si>
  <si>
    <t xml:space="preserve">1) All 10 sections complete  2) Self sign-off recorded  3) Stored in repo</t>
  </si>
  <si>
    <t xml:space="preserve">Must</t>
  </si>
  <si>
    <t xml:space="preserve">Done</t>
  </si>
  <si>
    <t xml:space="preserve">BA: Shrutika  |  PM: Claude</t>
  </si>
  <si>
    <t xml:space="preserve">US-002</t>
  </si>
  <si>
    <t xml:space="preserve">As the BA, I want a complete Product Backlog, so that all sprints are pre-planned.</t>
  </si>
  <si>
    <t xml:space="preserve">1) ≥ 25 stories  2) Each has AC  3) Each sized in SP  4) MoSCoW priority assigned</t>
  </si>
  <si>
    <t xml:space="preserve">US-003</t>
  </si>
  <si>
    <t xml:space="preserve">As the user, I want a Google Sheets workspace with structured tabs, so that I can log data daily.</t>
  </si>
  <si>
    <t xml:space="preserve">1) 6 tabs created  2) Validations on date/numeric fields  3) First 3 days logged</t>
  </si>
  <si>
    <t xml:space="preserve">To Do</t>
  </si>
  <si>
    <t xml:space="preserve">Shrutika (BA → Dev → Test)</t>
  </si>
  <si>
    <t xml:space="preserve">US-004</t>
  </si>
  <si>
    <t xml:space="preserve">As the BA, I want a public GitHub repo, so that artifacts are recruiter-visible.</t>
  </si>
  <si>
    <t xml:space="preserve">1) README explaining NOVA  2) Charter committed  3) /docs and /src folders created</t>
  </si>
  <si>
    <t xml:space="preserve">US-005</t>
  </si>
  <si>
    <t xml:space="preserve">As the user, I want a Skills Dev data model, so that learning sessions and artifacts are captured uniformly.</t>
  </si>
  <si>
    <t xml:space="preserve">1) Field list documented  2) Reviewed against 3 sample log entries  3) Stored in /docs</t>
  </si>
  <si>
    <t xml:space="preserve">US-006</t>
  </si>
  <si>
    <t xml:space="preserve">As the BA, I want a Sprint 0 retrospective, so that lessons feed Sprint 1.</t>
  </si>
  <si>
    <t xml:space="preserve">1) 3 keep / 3 stop / 3 start items  2) 1 process change committed</t>
  </si>
  <si>
    <t xml:space="preserve">US-101</t>
  </si>
  <si>
    <t xml:space="preserve">S1</t>
  </si>
  <si>
    <t xml:space="preserve">As the user, I want a daily learning-session log entry form, so that I can record what I studied in &lt;1 minute.</t>
  </si>
  <si>
    <t xml:space="preserve">1) Form/template &lt;1 min to fill  2) Captures topic, hours, source, key insight  3) 7 entries logged</t>
  </si>
  <si>
    <t xml:space="preserve">US-102</t>
  </si>
  <si>
    <t xml:space="preserve">As the user, I want an artifact log, so that every BA artifact I produce is tracked with link &amp; status.</t>
  </si>
  <si>
    <t xml:space="preserve">1) Captures artifact name, type, link, status, date  2) ≥ 3 real artifacts logged</t>
  </si>
  <si>
    <t xml:space="preserve">US-103</t>
  </si>
  <si>
    <t xml:space="preserve">As the user, I want an automated weekly summary template, so that I can review progress in 5 minutes.</t>
  </si>
  <si>
    <t xml:space="preserve">1) Auto-counts hours, sessions, artifacts  2) Surfaces top 3 insights  3) Tested against Wk 1 data</t>
  </si>
  <si>
    <t xml:space="preserve">US-104</t>
  </si>
  <si>
    <t xml:space="preserve">As the user, I want streak tracking on learning days, so that I get visual feedback on consistency.</t>
  </si>
  <si>
    <t xml:space="preserve">1) Current streak visible on dashboard  2) Longest streak tracked  3) Resets correctly after gap</t>
  </si>
  <si>
    <t xml:space="preserve">Should</t>
  </si>
  <si>
    <t xml:space="preserve">US-105</t>
  </si>
  <si>
    <t xml:space="preserve">As the BA, I want Sprint 1 demo screenshots, so that they feed the LinkedIn case study later.</t>
  </si>
  <si>
    <t xml:space="preserve">1) ≥ 5 screenshots  2) Stored in /docs/screenshots/sprint1</t>
  </si>
  <si>
    <t xml:space="preserve">US-201</t>
  </si>
  <si>
    <t xml:space="preserve">S2</t>
  </si>
  <si>
    <t xml:space="preserve">As the user, I want an n8n workflow that emails me a daily log reminder at 9 PM, so that I don't forget to log.</t>
  </si>
  <si>
    <t xml:space="preserve">1) Reminder fires daily  2) Configurable time  3) Skips on buffer days</t>
  </si>
  <si>
    <t xml:space="preserve">US-202</t>
  </si>
  <si>
    <t xml:space="preserve">As the user, I want an n8n workflow that compiles the weekly summary every Sunday, so that it lands in my inbox.</t>
  </si>
  <si>
    <t xml:space="preserve">1) Triggers Sunday 6 PM  2) Pulls from Sheets  3) Email arrives with formatted summary</t>
  </si>
  <si>
    <t xml:space="preserve">US-203</t>
  </si>
  <si>
    <t xml:space="preserve">As the user, I want a basic job-posting scraper for one source (Indeed CA), so that I have a daily candidate list.</t>
  </si>
  <si>
    <t xml:space="preserve">1) Scrapes Senior AI BA, Toronto  2) Stores top 10  3) Respects rate limits</t>
  </si>
  <si>
    <t xml:space="preserve">US-204</t>
  </si>
  <si>
    <t xml:space="preserve">As the user, I want validation on Sheets entries, so that bad data doesn't pollute the analytics layer.</t>
  </si>
  <si>
    <t xml:space="preserve">1) Date format enforced  2) Numeric fields validated  3) Required fields flagged</t>
  </si>
  <si>
    <t xml:space="preserve">US-205</t>
  </si>
  <si>
    <t xml:space="preserve">As the BA, I want a Sprint 2 retro, so that automation lessons feed analytics work.</t>
  </si>
  <si>
    <t xml:space="preserve">1) 3/3/3 retro items  2) 1 process change</t>
  </si>
  <si>
    <t xml:space="preserve">US-301</t>
  </si>
  <si>
    <t xml:space="preserve">S3</t>
  </si>
  <si>
    <t xml:space="preserve">As the user, I want a Python notebook that calculates learning velocity per week, so that I see whether I'm accelerating.</t>
  </si>
  <si>
    <t xml:space="preserve">1) Reads Sheets via API  2) Outputs weekly hours chart  3) Trend line included</t>
  </si>
  <si>
    <t xml:space="preserve">US-302</t>
  </si>
  <si>
    <t xml:space="preserve">As the user, I want artifact ROI analysis, so that I know which artifact types attract recruiter responses.</t>
  </si>
  <si>
    <t xml:space="preserve">1) Joins artifact log with job-app log  2) Outputs response rate by type</t>
  </si>
  <si>
    <t xml:space="preserve">US-303</t>
  </si>
  <si>
    <t xml:space="preserve">As the user, I want streak-pattern analytics, so that I understand which days/contexts I break consistency.</t>
  </si>
  <si>
    <t xml:space="preserve">1) Day-of-week breakdown  2) Average streak length  3) Top 3 break patterns</t>
  </si>
  <si>
    <t xml:space="preserve">US-304</t>
  </si>
  <si>
    <t xml:space="preserve">As the BA, I want analytics outputs committed to the repo, so that recruiters see code + insights.</t>
  </si>
  <si>
    <t xml:space="preserve">1) /src/analytics/ populated  2) README updated  3) ≥ 2 charts as PNG</t>
  </si>
  <si>
    <t xml:space="preserve">US-401</t>
  </si>
  <si>
    <t xml:space="preserve">S4</t>
  </si>
  <si>
    <t xml:space="preserve">As the user, I want a Streamlit dashboard with 4 tabs (Today / Trends / Artifacts / Jobs), so that everything is in one place.</t>
  </si>
  <si>
    <t xml:space="preserve">1) All 4 tabs render  2) Data refreshed on load  3) Mobile-readable</t>
  </si>
  <si>
    <t xml:space="preserve">US-402</t>
  </si>
  <si>
    <t xml:space="preserve">As the user, I want Claude API to generate a daily insight from yesterday's log, so that I get coaching automatically.</t>
  </si>
  <si>
    <t xml:space="preserve">1) Insight ≤ 100 words  2) References specific entry  3) Cached to avoid re-calling</t>
  </si>
  <si>
    <t xml:space="preserve">US-403</t>
  </si>
  <si>
    <t xml:space="preserve">As the user, I want the Job Opportunity Radar to score top 10 postings daily, so that I prioritize fast.</t>
  </si>
  <si>
    <t xml:space="preserve">1) Top 10 ranked  2) Score 0-100 with rationale  3) Tailored cover-letter snippet drafted</t>
  </si>
  <si>
    <t xml:space="preserve">US-404</t>
  </si>
  <si>
    <t xml:space="preserve">As the BA, I want a recorded demo video (3-5 min), so that I can share NOVA in interviews.</t>
  </si>
  <si>
    <t xml:space="preserve">1) Voiceover walkthrough  2) Uploaded to YouTube unlisted  3) Linked from README</t>
  </si>
  <si>
    <t xml:space="preserve">US-501</t>
  </si>
  <si>
    <t xml:space="preserve">S5</t>
  </si>
  <si>
    <t xml:space="preserve">As the user, I want a simple habit-streak module added (3 habits), so that NOVA covers the second pillar.</t>
  </si>
  <si>
    <t xml:space="preserve">1) 3 habits configurable  2) Streak per habit  3) Logged in dashboard</t>
  </si>
  <si>
    <t xml:space="preserve">US-502</t>
  </si>
  <si>
    <t xml:space="preserve">As the BA, I want LinkedIn case study #1 (the discovery story), so that recruiters see BA fundamentals.</t>
  </si>
  <si>
    <t xml:space="preserve">1) ≥ 800 words  2) Includes architecture diagram  3) Published</t>
  </si>
  <si>
    <t xml:space="preserve">US-503</t>
  </si>
  <si>
    <t xml:space="preserve">As the BA, I want LinkedIn case study #2 (the AI integration story), so that recruiters see AI fluency.</t>
  </si>
  <si>
    <t xml:space="preserve">1) ≥ 800 words  2) Includes Claude API examples  3) Published</t>
  </si>
  <si>
    <t xml:space="preserve">US-504</t>
  </si>
  <si>
    <t xml:space="preserve">As the BA, I want LinkedIn case study #3 (the outcomes story), so that recruiters see measurable impact.</t>
  </si>
  <si>
    <t xml:space="preserve">1) ≥ 800 words  2) Includes metrics dashboard screenshot  3) Published</t>
  </si>
  <si>
    <t xml:space="preserve">US-505</t>
  </si>
  <si>
    <t xml:space="preserve">As the BA, I want a polished GitHub README with badges, architecture, screenshots, so that the repo lands well.</t>
  </si>
  <si>
    <t xml:space="preserve">1) README has 6 sections  2) Architecture diagram  3) Screenshots embedded</t>
  </si>
  <si>
    <t xml:space="preserve">US-506</t>
  </si>
  <si>
    <t xml:space="preserve">As the BA, I want a final retrospective and lessons-learned doc, so that NOVA's narrative is complete.</t>
  </si>
  <si>
    <t xml:space="preserve">1) Top 5 lessons  2) Top 5 wins  3) v2 backlog seeded</t>
  </si>
  <si>
    <t xml:space="preserve">Sprint 0 — Discovery &amp; Foundation  (Apr 27 – May 6, 2026)</t>
  </si>
  <si>
    <t xml:space="preserve">Goal: Charter signed, Backlog complete, Layer 1 (Sheets) live with first entries logged. Capacity: ~35 hrs.</t>
  </si>
  <si>
    <t xml:space="preserve">Day</t>
  </si>
  <si>
    <t xml:space="preserve">Date</t>
  </si>
  <si>
    <t xml:space="preserve">Type</t>
  </si>
  <si>
    <t xml:space="preserve">Hrs</t>
  </si>
  <si>
    <t xml:space="preserve">Task</t>
  </si>
  <si>
    <t xml:space="preserve">Linked Story</t>
  </si>
  <si>
    <t xml:space="preserve">Mon</t>
  </si>
  <si>
    <t xml:space="preserve">2026-04-27</t>
  </si>
  <si>
    <t xml:space="preserve">Build</t>
  </si>
  <si>
    <t xml:space="preserve">Charter sign-off + repo init + research personal-OS templates</t>
  </si>
  <si>
    <t xml:space="preserve">US-001, US-004</t>
  </si>
  <si>
    <t xml:space="preserve">In Progress</t>
  </si>
  <si>
    <t xml:space="preserve">Tue</t>
  </si>
  <si>
    <t xml:space="preserve">2026-04-28</t>
  </si>
  <si>
    <t xml:space="preserve">Draft full Product Backlog with stories + AC + sizing</t>
  </si>
  <si>
    <t xml:space="preserve">Wed</t>
  </si>
  <si>
    <t xml:space="preserve">2026-04-29</t>
  </si>
  <si>
    <t xml:space="preserve">Buffer</t>
  </si>
  <si>
    <t xml:space="preserve">BUFFER DAY — no NOVA work; rest</t>
  </si>
  <si>
    <t xml:space="preserve">—</t>
  </si>
  <si>
    <t xml:space="preserve">Thu</t>
  </si>
  <si>
    <t xml:space="preserve">2026-04-30</t>
  </si>
  <si>
    <t xml:space="preserve">Design Skills Dev data model + create Sheets structure</t>
  </si>
  <si>
    <t xml:space="preserve">US-003, US-005</t>
  </si>
  <si>
    <t xml:space="preserve">Fri</t>
  </si>
  <si>
    <t xml:space="preserve">2026-05-01</t>
  </si>
  <si>
    <t xml:space="preserve">Finish Sheets tabs, validations, formulas; commit to repo</t>
  </si>
  <si>
    <t xml:space="preserve">Sat</t>
  </si>
  <si>
    <t xml:space="preserve">2026-05-02</t>
  </si>
  <si>
    <t xml:space="preserve">Definition of Done v1; first 3 real log entries (UAT round 1)</t>
  </si>
  <si>
    <t xml:space="preserve">Sun</t>
  </si>
  <si>
    <t xml:space="preserve">2026-05-03</t>
  </si>
  <si>
    <t xml:space="preserve">2026-05-04</t>
  </si>
  <si>
    <t xml:space="preserve">UAT round 2; fix any field issues; finalize Sheets schema</t>
  </si>
  <si>
    <t xml:space="preserve">2026-05-05</t>
  </si>
  <si>
    <t xml:space="preserve">Review</t>
  </si>
  <si>
    <t xml:space="preserve">Sprint Review (self-demo + screenshots) + Retrospective</t>
  </si>
  <si>
    <t xml:space="preserve">2026-05-06</t>
  </si>
  <si>
    <t xml:space="preserve">BUFFER + Sprint 1 Planning prep (read US-101 to US-105)</t>
  </si>
  <si>
    <t xml:space="preserve">TOTAL</t>
  </si>
  <si>
    <t xml:space="preserve">Hours committed Sprint 0</t>
  </si>
  <si>
    <t xml:space="preserve">Daily Log — log every working day (5-min commitment minimum)</t>
  </si>
  <si>
    <t xml:space="preserve">Floor commitment: 1 line. That's a logged day. Don't break the chain.</t>
  </si>
  <si>
    <t xml:space="preserve">Yesterday's progress</t>
  </si>
  <si>
    <t xml:space="preserve">Today's plan</t>
  </si>
  <si>
    <t xml:space="preserve">Blockers / notes</t>
  </si>
  <si>
    <t xml:space="preserve">Logged?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</si>
  <si>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</si>
  <si>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</si>
  <si>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</si>
  <si>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</si>
  <si>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</si>
  <si>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</si>
  <si>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</si>
  <si>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</si>
  <si>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</si>
  <si>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</si>
  <si>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</si>
  <si>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</si>
  <si>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</si>
  <si>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</si>
  <si>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</si>
  <si>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</si>
  <si>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</si>
  <si>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</si>
  <si>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</si>
  <si>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</si>
  <si>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</si>
  <si>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</si>
  <si>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</si>
  <si>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</si>
  <si>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</si>
  <si>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</si>
  <si>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</si>
  <si>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</si>
  <si>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</si>
  <si>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</si>
  <si>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</si>
  <si>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</si>
  <si>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</si>
  <si>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</si>
  <si>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</si>
  <si>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</si>
  <si>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</si>
  <si>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</si>
  <si>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</si>
  <si>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</si>
  <si>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</si>
  <si>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</si>
  <si>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</si>
  <si>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</si>
  <si>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</si>
  <si>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</si>
  <si>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</si>
  <si>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</si>
  <si>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</si>
  <si>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</si>
  <si>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Metrics Dashboard — live status against Charter targets</t>
  </si>
  <si>
    <t xml:space="preserve">Metric</t>
  </si>
  <si>
    <t xml:space="preserve">Target</t>
  </si>
  <si>
    <t xml:space="preserve">Actual</t>
  </si>
  <si>
    <t xml:space="preserve">% to Goal</t>
  </si>
  <si>
    <t xml:space="preserve">Notes</t>
  </si>
  <si>
    <t xml:space="preserve">Days logged in NOVA (out of 60)</t>
  </si>
  <si>
    <t xml:space="preserve">Target = 70%</t>
  </si>
  <si>
    <t xml:space="preserve">AI BA artifacts produced</t>
  </si>
  <si>
    <t xml:space="preserve">Update manually as artifacts ship</t>
  </si>
  <si>
    <t xml:space="preserve">LinkedIn / GitHub case studies</t>
  </si>
  <si>
    <t xml:space="preserve">Sprint 5 deliverable</t>
  </si>
  <si>
    <t xml:space="preserve">Job applications referencing NOVA</t>
  </si>
  <si>
    <t xml:space="preserve">Counted from Job Apps tab</t>
  </si>
  <si>
    <t xml:space="preserve">Hours of focused learning logged</t>
  </si>
  <si>
    <t xml:space="preserve">Auto-summed from Daily Log</t>
  </si>
  <si>
    <t xml:space="preserve">Sprint progress</t>
  </si>
  <si>
    <t xml:space="preserve">Stories</t>
  </si>
  <si>
    <t xml:space="preserve">% Done</t>
  </si>
  <si>
    <t xml:space="preserve">Sprint 0 Burndown — story points remaining by day</t>
  </si>
  <si>
    <t xml:space="preserve">Ideal Remaining</t>
  </si>
  <si>
    <t xml:space="preserve">Actual Remaining</t>
  </si>
  <si>
    <t xml:space="preserve">Variance</t>
  </si>
  <si>
    <t xml:space="preserve">Total Sprint 0 SP = 15  ·  Working days = 7  ·  Ideal burn = ~2.14 SP/day</t>
  </si>
  <si>
    <t xml:space="preserve">Update column D at end of each working day with SP still remaining.</t>
  </si>
  <si>
    <t xml:space="preserve">Risk Register — reviewed every retrospective</t>
  </si>
  <si>
    <t xml:space="preserve">#</t>
  </si>
  <si>
    <t xml:space="preserve">Risk</t>
  </si>
  <si>
    <t xml:space="preserve">Likelihood</t>
  </si>
  <si>
    <t xml:space="preserve">Impact</t>
  </si>
  <si>
    <t xml:space="preserve">Score (L×I)</t>
  </si>
  <si>
    <t xml:space="preserve">Mitigation</t>
  </si>
  <si>
    <t xml:space="preserve">R1</t>
  </si>
  <si>
    <t xml:space="preserve">Consistency-failure pattern repeats (the meta-risk)</t>
  </si>
  <si>
    <t xml:space="preserve">High</t>
  </si>
  <si>
    <t xml:space="preserve">Wed/Sun buffer days non-negotiable; floor commitment = 1 line in Daily Log</t>
  </si>
  <si>
    <t xml:space="preserve">R2</t>
  </si>
  <si>
    <t xml:space="preserve">Scope creep into wellness / productivity pillars</t>
  </si>
  <si>
    <t xml:space="preserve">Medium</t>
  </si>
  <si>
    <t xml:space="preserve">Charter explicitly OOS; reject mid-sprint adds; park in 'v2 ideas'</t>
  </si>
  <si>
    <t xml:space="preserve">R3</t>
  </si>
  <si>
    <t xml:space="preserve">Technical learning curve on n8n / Streamlit / Python</t>
  </si>
  <si>
    <t xml:space="preserve">2-hr ramp-up per tool in S0; small spikes before full sprint commit</t>
  </si>
  <si>
    <t xml:space="preserve">R4</t>
  </si>
  <si>
    <t xml:space="preserve">Job-search activity competes with build time</t>
  </si>
  <si>
    <t xml:space="preserve">Log job apps INSIDE NOVA; turns competition into reinforcement</t>
  </si>
  <si>
    <t xml:space="preserve">R5</t>
  </si>
  <si>
    <t xml:space="preserve">Job Opportunity Radar scraping breaks (site changes)</t>
  </si>
  <si>
    <t xml:space="preserve">Low</t>
  </si>
  <si>
    <t xml:space="preserve">API-first sources where available; graceful failure modes</t>
  </si>
  <si>
    <t xml:space="preserve">R6</t>
  </si>
  <si>
    <t xml:space="preserve">Baicorp work crunch consumes capacity</t>
  </si>
  <si>
    <t xml:space="preserve">5 hr/day = ceiling, not floor; floor = 1 hr written reflection</t>
  </si>
  <si>
    <t xml:space="preserve">R7</t>
  </si>
  <si>
    <t xml:space="preserve">Loss of motivation around Sprint 3 (the danger zone)</t>
  </si>
  <si>
    <t xml:space="preserve">Sprint 3 deliverable intentionally visual (charts) for fast feedback</t>
  </si>
  <si>
    <t xml:space="preserve">Job Application Tracker</t>
  </si>
  <si>
    <t xml:space="preserve">Log every Senior AI BA / AI BA / related application. Set 'NOVA referenced?' = Yes when you mention NOVA in cover letter / message / interview.</t>
  </si>
  <si>
    <t xml:space="preserve">Company</t>
  </si>
  <si>
    <t xml:space="preserve">Role title</t>
  </si>
  <si>
    <t xml:space="preserve">Source</t>
  </si>
  <si>
    <t xml:space="preserve">NOVA referenced?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</si>
</sst>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"/>
    <numFmt numFmtId="168" formatCode="0%"/>
    <numFmt numFmtId="169" formatCode="0.0;\-0.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  <col collapsed="false" customWidth="true" hidden="false" outlineLevel="0" max="3" min="3" style="0" width="14"/>
    <col collapsed="false" customWidth="true" hidden="false" outlineLevel="0" max="4" min="4" style="0" width="7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A5" s="4"/>
      <c r="B5" s="5"/>
    </row>
    <row r="6" customFormat="false" ht="15" hidden="false" customHeight="true" outlineLevel="0" collapsed="false">
      <c r="A6" s="4" t="s">
        <v>2</v>
      </c>
      <c r="B6" s="5"/>
    </row>
    <row r="7" customFormat="false" ht="15" hidden="false" customHeight="true" outlineLevel="0" collapsed="false">
      <c r="A7" s="4" t="s">
        <v>3</v>
      </c>
      <c r="B7" s="5" t="s">
        <v>4</v>
      </c>
    </row>
    <row r="8" customFormat="false" ht="15" hidden="false" customHeight="true" outlineLevel="0" collapsed="false">
      <c r="A8" s="4" t="s">
        <v>5</v>
      </c>
      <c r="B8" s="5" t="s">
        <v>6</v>
      </c>
    </row>
    <row r="9" customFormat="false" ht="15" hidden="false" customHeight="true" outlineLevel="0" collapsed="false">
      <c r="A9" s="4" t="s">
        <v>7</v>
      </c>
      <c r="B9" s="5" t="s">
        <v>8</v>
      </c>
    </row>
    <row r="10" customFormat="false" ht="15" hidden="false" customHeight="true" outlineLevel="0" collapsed="false">
      <c r="A10" s="4" t="s">
        <v>9</v>
      </c>
      <c r="B10" s="5" t="s">
        <v>10</v>
      </c>
    </row>
    <row r="11" customFormat="false" ht="15" hidden="false" customHeight="true" outlineLevel="0" collapsed="false">
      <c r="A11" s="4" t="s">
        <v>11</v>
      </c>
      <c r="B11" s="5" t="s">
        <v>12</v>
      </c>
    </row>
    <row r="12" customFormat="false" ht="15" hidden="false" customHeight="true" outlineLevel="0" collapsed="false">
      <c r="A12" s="4"/>
      <c r="B12" s="5"/>
    </row>
    <row r="13" customFormat="false" ht="15" hidden="false" customHeight="true" outlineLevel="0" collapsed="false">
      <c r="A13" s="4" t="s">
        <v>13</v>
      </c>
      <c r="B13" s="5"/>
    </row>
    <row r="14" customFormat="false" ht="15" hidden="false" customHeight="true" outlineLevel="0" collapsed="false">
      <c r="A14" s="4" t="s">
        <v>14</v>
      </c>
      <c r="B14" s="5" t="s">
        <v>15</v>
      </c>
    </row>
    <row r="15" customFormat="false" ht="15" hidden="false" customHeight="true" outlineLevel="0" collapsed="false">
      <c r="A15" s="4" t="s">
        <v>14</v>
      </c>
      <c r="B15" s="5" t="s">
        <v>16</v>
      </c>
    </row>
    <row r="16" customFormat="false" ht="15" hidden="false" customHeight="true" outlineLevel="0" collapsed="false">
      <c r="A16" s="4" t="s">
        <v>14</v>
      </c>
      <c r="B16" s="5" t="s">
        <v>17</v>
      </c>
    </row>
    <row r="17" customFormat="false" ht="15" hidden="false" customHeight="true" outlineLevel="0" collapsed="false">
      <c r="A17" s="4" t="s">
        <v>14</v>
      </c>
      <c r="B17" s="5" t="s">
        <v>18</v>
      </c>
    </row>
    <row r="18" customFormat="false" ht="15" hidden="false" customHeight="true" outlineLevel="0" collapsed="false">
      <c r="A18" s="4" t="s">
        <v>14</v>
      </c>
      <c r="B18" s="5" t="s">
        <v>19</v>
      </c>
    </row>
    <row r="19" customFormat="false" ht="15" hidden="false" customHeight="true" outlineLevel="0" collapsed="false">
      <c r="A19" s="4" t="s">
        <v>14</v>
      </c>
      <c r="B19" s="5" t="s">
        <v>20</v>
      </c>
    </row>
    <row r="20" customFormat="false" ht="15" hidden="false" customHeight="true" outlineLevel="0" collapsed="false">
      <c r="A20" s="4" t="s">
        <v>14</v>
      </c>
      <c r="B20" s="5" t="s">
        <v>21</v>
      </c>
    </row>
    <row r="21" customFormat="false" ht="15" hidden="false" customHeight="true" outlineLevel="0" collapsed="false">
      <c r="A21" s="4"/>
      <c r="B21" s="5"/>
    </row>
    <row r="22" customFormat="false" ht="15" hidden="false" customHeight="true" outlineLevel="0" collapsed="false">
      <c r="A22" s="4" t="s">
        <v>22</v>
      </c>
      <c r="B22" s="5"/>
    </row>
    <row r="23" customFormat="false" ht="15" hidden="false" customHeight="true" outlineLevel="0" collapsed="false">
      <c r="A23" s="4" t="s">
        <v>23</v>
      </c>
      <c r="B23" s="5" t="s">
        <v>24</v>
      </c>
    </row>
    <row r="24" customFormat="false" ht="15" hidden="false" customHeight="true" outlineLevel="0" collapsed="false">
      <c r="A24" s="4" t="s">
        <v>23</v>
      </c>
      <c r="B24" s="5" t="s">
        <v>25</v>
      </c>
    </row>
    <row r="25" customFormat="false" ht="15" hidden="false" customHeight="true" outlineLevel="0" collapsed="false">
      <c r="A25" s="4" t="s">
        <v>23</v>
      </c>
      <c r="B25" s="5" t="s">
        <v>26</v>
      </c>
    </row>
    <row r="26" customFormat="false" ht="15" hidden="false" customHeight="true" outlineLevel="0" collapsed="false">
      <c r="A26" s="4" t="s">
        <v>23</v>
      </c>
      <c r="B26" s="5" t="s">
        <v>27</v>
      </c>
    </row>
    <row r="30" customFormat="false" ht="15" hidden="false" customHeight="false" outlineLevel="0" collapsed="false">
      <c r="B30" s="6" t="s">
        <v>28</v>
      </c>
    </row>
    <row r="31" customFormat="false" ht="15" hidden="false" customHeight="false" outlineLevel="0" collapsed="false">
      <c r="B31" s="7" t="s">
        <v>29</v>
      </c>
    </row>
    <row r="33" customFormat="false" ht="24" hidden="false" customHeight="true" outlineLevel="0" collapsed="false">
      <c r="B33" s="8" t="s">
        <v>30</v>
      </c>
      <c r="C33" s="8" t="s">
        <v>31</v>
      </c>
      <c r="D33" s="8" t="s">
        <v>32</v>
      </c>
    </row>
    <row r="34" customFormat="false" ht="31.5" hidden="false" customHeight="true" outlineLevel="0" collapsed="false">
      <c r="B34" s="9" t="s">
        <v>33</v>
      </c>
      <c r="C34" s="9" t="s">
        <v>34</v>
      </c>
      <c r="D34" s="10" t="s">
        <v>35</v>
      </c>
    </row>
    <row r="35" customFormat="false" ht="31.5" hidden="false" customHeight="true" outlineLevel="0" collapsed="false">
      <c r="B35" s="11" t="s">
        <v>36</v>
      </c>
      <c r="C35" s="11" t="s">
        <v>37</v>
      </c>
      <c r="D35" s="12" t="s">
        <v>38</v>
      </c>
    </row>
    <row r="36" customFormat="false" ht="31.5" hidden="false" customHeight="true" outlineLevel="0" collapsed="false">
      <c r="B36" s="9" t="s">
        <v>39</v>
      </c>
      <c r="C36" s="9" t="s">
        <v>37</v>
      </c>
      <c r="D36" s="10" t="s">
        <v>40</v>
      </c>
    </row>
    <row r="37" customFormat="false" ht="31.5" hidden="false" customHeight="true" outlineLevel="0" collapsed="false">
      <c r="B37" s="11" t="s">
        <v>41</v>
      </c>
      <c r="C37" s="11" t="s">
        <v>37</v>
      </c>
      <c r="D37" s="12" t="s">
        <v>42</v>
      </c>
    </row>
    <row r="38" customFormat="false" ht="31.5" hidden="false" customHeight="true" outlineLevel="0" collapsed="false">
      <c r="B38" s="9" t="s">
        <v>43</v>
      </c>
      <c r="C38" s="9" t="s">
        <v>37</v>
      </c>
      <c r="D38" s="10" t="s">
        <v>44</v>
      </c>
    </row>
    <row r="39" customFormat="false" ht="31.5" hidden="false" customHeight="true" outlineLevel="0" collapsed="false">
      <c r="B39" s="11" t="s">
        <v>45</v>
      </c>
      <c r="C39" s="11" t="s">
        <v>37</v>
      </c>
      <c r="D39" s="12" t="s">
        <v>46</v>
      </c>
    </row>
    <row r="41" customFormat="false" ht="31.5" hidden="false" customHeight="true" outlineLevel="0" collapsed="false">
      <c r="B41" s="13" t="s">
        <v>47</v>
      </c>
      <c r="C41" s="13"/>
      <c r="D41" s="13"/>
    </row>
  </sheetData>
  <mergeCells count="1"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38"/>
    <col collapsed="false" customWidth="true" hidden="false" outlineLevel="0" max="4" min="4" style="1" width="40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11"/>
    <col collapsed="false" customWidth="true" hidden="false" outlineLevel="0" max="8" min="8" style="1" width="14"/>
  </cols>
  <sheetData>
    <row r="1" customFormat="false" ht="21.75" hidden="false" customHeight="true" outlineLevel="0" collapsed="false">
      <c r="A1" s="14" t="s">
        <v>48</v>
      </c>
      <c r="B1" s="14"/>
      <c r="C1" s="14"/>
      <c r="D1" s="14"/>
      <c r="E1" s="14"/>
      <c r="F1" s="14"/>
      <c r="G1" s="14"/>
      <c r="H1" s="14"/>
    </row>
    <row r="2" customFormat="false" ht="15" hidden="false" customHeight="true" outlineLevel="0" collapsed="false">
      <c r="A2" s="15" t="s">
        <v>49</v>
      </c>
      <c r="B2" s="15"/>
      <c r="C2" s="15"/>
      <c r="D2" s="15"/>
      <c r="E2" s="15"/>
      <c r="F2" s="15"/>
      <c r="G2" s="15"/>
      <c r="H2" s="15"/>
    </row>
    <row r="4" customFormat="false" ht="27.75" hidden="false" customHeight="true" outlineLevel="0" collapsed="false">
      <c r="A4" s="8" t="s">
        <v>50</v>
      </c>
      <c r="B4" s="8" t="s">
        <v>51</v>
      </c>
      <c r="C4" s="8" t="s">
        <v>52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</row>
    <row r="5" customFormat="false" ht="23.25" hidden="false" customHeight="true" outlineLevel="0" collapsed="false">
      <c r="A5" s="16" t="s">
        <v>58</v>
      </c>
      <c r="B5" s="16" t="s">
        <v>59</v>
      </c>
      <c r="C5" s="10" t="s">
        <v>60</v>
      </c>
      <c r="D5" s="10" t="s">
        <v>61</v>
      </c>
      <c r="E5" s="16" t="n">
        <v>2</v>
      </c>
      <c r="F5" s="16" t="s">
        <v>62</v>
      </c>
      <c r="G5" s="16" t="s">
        <v>63</v>
      </c>
      <c r="H5" s="16" t="s">
        <v>64</v>
      </c>
    </row>
    <row r="6" customFormat="false" ht="23.25" hidden="false" customHeight="true" outlineLevel="0" collapsed="false">
      <c r="A6" s="16" t="s">
        <v>65</v>
      </c>
      <c r="B6" s="16" t="s">
        <v>59</v>
      </c>
      <c r="C6" s="10" t="s">
        <v>66</v>
      </c>
      <c r="D6" s="10" t="s">
        <v>67</v>
      </c>
      <c r="E6" s="16" t="n">
        <v>3</v>
      </c>
      <c r="F6" s="16" t="s">
        <v>62</v>
      </c>
      <c r="G6" s="16" t="s">
        <v>63</v>
      </c>
      <c r="H6" s="16" t="s">
        <v>64</v>
      </c>
    </row>
    <row r="7" customFormat="false" ht="34.5" hidden="false" customHeight="true" outlineLevel="0" collapsed="false">
      <c r="A7" s="16" t="s">
        <v>68</v>
      </c>
      <c r="B7" s="16" t="s">
        <v>59</v>
      </c>
      <c r="C7" s="10" t="s">
        <v>69</v>
      </c>
      <c r="D7" s="10" t="s">
        <v>70</v>
      </c>
      <c r="E7" s="16" t="n">
        <v>5</v>
      </c>
      <c r="F7" s="16" t="s">
        <v>62</v>
      </c>
      <c r="G7" s="16" t="s">
        <v>71</v>
      </c>
      <c r="H7" s="16" t="s">
        <v>72</v>
      </c>
    </row>
    <row r="8" customFormat="false" ht="23.25" hidden="false" customHeight="true" outlineLevel="0" collapsed="false">
      <c r="A8" s="16" t="s">
        <v>73</v>
      </c>
      <c r="B8" s="16" t="s">
        <v>59</v>
      </c>
      <c r="C8" s="10" t="s">
        <v>74</v>
      </c>
      <c r="D8" s="10" t="s">
        <v>75</v>
      </c>
      <c r="E8" s="16" t="n">
        <v>2</v>
      </c>
      <c r="F8" s="16" t="s">
        <v>62</v>
      </c>
      <c r="G8" s="16" t="s">
        <v>71</v>
      </c>
      <c r="H8" s="16" t="s">
        <v>72</v>
      </c>
    </row>
    <row r="9" customFormat="false" ht="34.5" hidden="false" customHeight="true" outlineLevel="0" collapsed="false">
      <c r="A9" s="16" t="s">
        <v>76</v>
      </c>
      <c r="B9" s="16" t="s">
        <v>59</v>
      </c>
      <c r="C9" s="10" t="s">
        <v>77</v>
      </c>
      <c r="D9" s="10" t="s">
        <v>78</v>
      </c>
      <c r="E9" s="16" t="n">
        <v>2</v>
      </c>
      <c r="F9" s="16" t="s">
        <v>62</v>
      </c>
      <c r="G9" s="16" t="s">
        <v>71</v>
      </c>
      <c r="H9" s="16" t="s">
        <v>72</v>
      </c>
    </row>
    <row r="10" customFormat="false" ht="23.25" hidden="false" customHeight="true" outlineLevel="0" collapsed="false">
      <c r="A10" s="16" t="s">
        <v>79</v>
      </c>
      <c r="B10" s="16" t="s">
        <v>59</v>
      </c>
      <c r="C10" s="10" t="s">
        <v>80</v>
      </c>
      <c r="D10" s="10" t="s">
        <v>81</v>
      </c>
      <c r="E10" s="16" t="n">
        <v>1</v>
      </c>
      <c r="F10" s="16" t="s">
        <v>62</v>
      </c>
      <c r="G10" s="16" t="s">
        <v>71</v>
      </c>
      <c r="H10" s="16" t="s">
        <v>64</v>
      </c>
    </row>
    <row r="11" customFormat="false" ht="34.5" hidden="false" customHeight="true" outlineLevel="0" collapsed="false">
      <c r="A11" s="16" t="s">
        <v>82</v>
      </c>
      <c r="B11" s="16" t="s">
        <v>83</v>
      </c>
      <c r="C11" s="10" t="s">
        <v>84</v>
      </c>
      <c r="D11" s="10" t="s">
        <v>85</v>
      </c>
      <c r="E11" s="16" t="n">
        <v>3</v>
      </c>
      <c r="F11" s="16" t="s">
        <v>62</v>
      </c>
      <c r="G11" s="16" t="s">
        <v>71</v>
      </c>
      <c r="H11" s="16" t="s">
        <v>72</v>
      </c>
    </row>
    <row r="12" customFormat="false" ht="34.5" hidden="false" customHeight="true" outlineLevel="0" collapsed="false">
      <c r="A12" s="16" t="s">
        <v>86</v>
      </c>
      <c r="B12" s="16" t="s">
        <v>83</v>
      </c>
      <c r="C12" s="10" t="s">
        <v>87</v>
      </c>
      <c r="D12" s="10" t="s">
        <v>88</v>
      </c>
      <c r="E12" s="16" t="n">
        <v>3</v>
      </c>
      <c r="F12" s="16" t="s">
        <v>62</v>
      </c>
      <c r="G12" s="16" t="s">
        <v>71</v>
      </c>
      <c r="H12" s="16" t="s">
        <v>72</v>
      </c>
    </row>
    <row r="13" customFormat="false" ht="34.5" hidden="false" customHeight="true" outlineLevel="0" collapsed="false">
      <c r="A13" s="16" t="s">
        <v>89</v>
      </c>
      <c r="B13" s="16" t="s">
        <v>83</v>
      </c>
      <c r="C13" s="10" t="s">
        <v>90</v>
      </c>
      <c r="D13" s="10" t="s">
        <v>91</v>
      </c>
      <c r="E13" s="16" t="n">
        <v>5</v>
      </c>
      <c r="F13" s="16" t="s">
        <v>62</v>
      </c>
      <c r="G13" s="16" t="s">
        <v>71</v>
      </c>
      <c r="H13" s="16" t="s">
        <v>72</v>
      </c>
    </row>
    <row r="14" customFormat="false" ht="34.5" hidden="false" customHeight="true" outlineLevel="0" collapsed="false">
      <c r="A14" s="16" t="s">
        <v>92</v>
      </c>
      <c r="B14" s="16" t="s">
        <v>83</v>
      </c>
      <c r="C14" s="10" t="s">
        <v>93</v>
      </c>
      <c r="D14" s="10" t="s">
        <v>94</v>
      </c>
      <c r="E14" s="16" t="n">
        <v>3</v>
      </c>
      <c r="F14" s="16" t="s">
        <v>95</v>
      </c>
      <c r="G14" s="16" t="s">
        <v>71</v>
      </c>
      <c r="H14" s="16" t="s">
        <v>72</v>
      </c>
    </row>
    <row r="15" customFormat="false" ht="23.25" hidden="false" customHeight="true" outlineLevel="0" collapsed="false">
      <c r="A15" s="16" t="s">
        <v>96</v>
      </c>
      <c r="B15" s="16" t="s">
        <v>83</v>
      </c>
      <c r="C15" s="10" t="s">
        <v>97</v>
      </c>
      <c r="D15" s="10" t="s">
        <v>98</v>
      </c>
      <c r="E15" s="16" t="n">
        <v>1</v>
      </c>
      <c r="F15" s="16" t="s">
        <v>95</v>
      </c>
      <c r="G15" s="16" t="s">
        <v>71</v>
      </c>
      <c r="H15" s="16" t="s">
        <v>64</v>
      </c>
    </row>
    <row r="16" customFormat="false" ht="34.5" hidden="false" customHeight="true" outlineLevel="0" collapsed="false">
      <c r="A16" s="16" t="s">
        <v>99</v>
      </c>
      <c r="B16" s="16" t="s">
        <v>100</v>
      </c>
      <c r="C16" s="10" t="s">
        <v>101</v>
      </c>
      <c r="D16" s="10" t="s">
        <v>102</v>
      </c>
      <c r="E16" s="16" t="n">
        <v>3</v>
      </c>
      <c r="F16" s="16" t="s">
        <v>62</v>
      </c>
      <c r="G16" s="16" t="s">
        <v>71</v>
      </c>
      <c r="H16" s="16" t="s">
        <v>72</v>
      </c>
    </row>
    <row r="17" customFormat="false" ht="34.5" hidden="false" customHeight="true" outlineLevel="0" collapsed="false">
      <c r="A17" s="16" t="s">
        <v>103</v>
      </c>
      <c r="B17" s="16" t="s">
        <v>100</v>
      </c>
      <c r="C17" s="10" t="s">
        <v>104</v>
      </c>
      <c r="D17" s="10" t="s">
        <v>105</v>
      </c>
      <c r="E17" s="16" t="n">
        <v>5</v>
      </c>
      <c r="F17" s="16" t="s">
        <v>62</v>
      </c>
      <c r="G17" s="16" t="s">
        <v>71</v>
      </c>
      <c r="H17" s="16" t="s">
        <v>72</v>
      </c>
    </row>
    <row r="18" customFormat="false" ht="34.5" hidden="false" customHeight="true" outlineLevel="0" collapsed="false">
      <c r="A18" s="16" t="s">
        <v>106</v>
      </c>
      <c r="B18" s="16" t="s">
        <v>100</v>
      </c>
      <c r="C18" s="10" t="s">
        <v>107</v>
      </c>
      <c r="D18" s="10" t="s">
        <v>108</v>
      </c>
      <c r="E18" s="16" t="n">
        <v>5</v>
      </c>
      <c r="F18" s="16" t="s">
        <v>62</v>
      </c>
      <c r="G18" s="16" t="s">
        <v>71</v>
      </c>
      <c r="H18" s="16" t="s">
        <v>72</v>
      </c>
    </row>
    <row r="19" customFormat="false" ht="34.5" hidden="false" customHeight="true" outlineLevel="0" collapsed="false">
      <c r="A19" s="16" t="s">
        <v>109</v>
      </c>
      <c r="B19" s="16" t="s">
        <v>100</v>
      </c>
      <c r="C19" s="10" t="s">
        <v>110</v>
      </c>
      <c r="D19" s="10" t="s">
        <v>111</v>
      </c>
      <c r="E19" s="16" t="n">
        <v>2</v>
      </c>
      <c r="F19" s="16" t="s">
        <v>95</v>
      </c>
      <c r="G19" s="16" t="s">
        <v>71</v>
      </c>
      <c r="H19" s="16" t="s">
        <v>72</v>
      </c>
    </row>
    <row r="20" customFormat="false" ht="23.25" hidden="false" customHeight="true" outlineLevel="0" collapsed="false">
      <c r="A20" s="16" t="s">
        <v>112</v>
      </c>
      <c r="B20" s="16" t="s">
        <v>100</v>
      </c>
      <c r="C20" s="10" t="s">
        <v>113</v>
      </c>
      <c r="D20" s="10" t="s">
        <v>114</v>
      </c>
      <c r="E20" s="16" t="n">
        <v>1</v>
      </c>
      <c r="F20" s="16" t="s">
        <v>62</v>
      </c>
      <c r="G20" s="16" t="s">
        <v>71</v>
      </c>
      <c r="H20" s="16" t="s">
        <v>64</v>
      </c>
    </row>
    <row r="21" customFormat="false" ht="34.5" hidden="false" customHeight="true" outlineLevel="0" collapsed="false">
      <c r="A21" s="16" t="s">
        <v>115</v>
      </c>
      <c r="B21" s="16" t="s">
        <v>116</v>
      </c>
      <c r="C21" s="10" t="s">
        <v>117</v>
      </c>
      <c r="D21" s="10" t="s">
        <v>118</v>
      </c>
      <c r="E21" s="16" t="n">
        <v>5</v>
      </c>
      <c r="F21" s="16" t="s">
        <v>62</v>
      </c>
      <c r="G21" s="16" t="s">
        <v>71</v>
      </c>
      <c r="H21" s="16" t="s">
        <v>72</v>
      </c>
    </row>
    <row r="22" customFormat="false" ht="34.5" hidden="false" customHeight="true" outlineLevel="0" collapsed="false">
      <c r="A22" s="16" t="s">
        <v>119</v>
      </c>
      <c r="B22" s="16" t="s">
        <v>116</v>
      </c>
      <c r="C22" s="10" t="s">
        <v>120</v>
      </c>
      <c r="D22" s="10" t="s">
        <v>121</v>
      </c>
      <c r="E22" s="16" t="n">
        <v>5</v>
      </c>
      <c r="F22" s="16" t="s">
        <v>62</v>
      </c>
      <c r="G22" s="16" t="s">
        <v>71</v>
      </c>
      <c r="H22" s="16" t="s">
        <v>72</v>
      </c>
    </row>
    <row r="23" customFormat="false" ht="34.5" hidden="false" customHeight="true" outlineLevel="0" collapsed="false">
      <c r="A23" s="16" t="s">
        <v>122</v>
      </c>
      <c r="B23" s="16" t="s">
        <v>116</v>
      </c>
      <c r="C23" s="10" t="s">
        <v>123</v>
      </c>
      <c r="D23" s="10" t="s">
        <v>124</v>
      </c>
      <c r="E23" s="16" t="n">
        <v>3</v>
      </c>
      <c r="F23" s="16" t="s">
        <v>95</v>
      </c>
      <c r="G23" s="16" t="s">
        <v>71</v>
      </c>
      <c r="H23" s="16" t="s">
        <v>72</v>
      </c>
    </row>
    <row r="24" customFormat="false" ht="34.5" hidden="false" customHeight="true" outlineLevel="0" collapsed="false">
      <c r="A24" s="16" t="s">
        <v>125</v>
      </c>
      <c r="B24" s="16" t="s">
        <v>116</v>
      </c>
      <c r="C24" s="10" t="s">
        <v>126</v>
      </c>
      <c r="D24" s="10" t="s">
        <v>127</v>
      </c>
      <c r="E24" s="16" t="n">
        <v>2</v>
      </c>
      <c r="F24" s="16" t="s">
        <v>62</v>
      </c>
      <c r="G24" s="16" t="s">
        <v>71</v>
      </c>
      <c r="H24" s="16" t="s">
        <v>72</v>
      </c>
    </row>
    <row r="25" customFormat="false" ht="34.5" hidden="false" customHeight="true" outlineLevel="0" collapsed="false">
      <c r="A25" s="16" t="s">
        <v>128</v>
      </c>
      <c r="B25" s="16" t="s">
        <v>129</v>
      </c>
      <c r="C25" s="10" t="s">
        <v>130</v>
      </c>
      <c r="D25" s="10" t="s">
        <v>131</v>
      </c>
      <c r="E25" s="16" t="n">
        <v>8</v>
      </c>
      <c r="F25" s="16" t="s">
        <v>62</v>
      </c>
      <c r="G25" s="16" t="s">
        <v>71</v>
      </c>
      <c r="H25" s="16" t="s">
        <v>72</v>
      </c>
    </row>
    <row r="26" customFormat="false" ht="34.5" hidden="false" customHeight="true" outlineLevel="0" collapsed="false">
      <c r="A26" s="16" t="s">
        <v>132</v>
      </c>
      <c r="B26" s="16" t="s">
        <v>129</v>
      </c>
      <c r="C26" s="10" t="s">
        <v>133</v>
      </c>
      <c r="D26" s="10" t="s">
        <v>134</v>
      </c>
      <c r="E26" s="16" t="n">
        <v>5</v>
      </c>
      <c r="F26" s="16" t="s">
        <v>62</v>
      </c>
      <c r="G26" s="16" t="s">
        <v>71</v>
      </c>
      <c r="H26" s="16" t="s">
        <v>72</v>
      </c>
    </row>
    <row r="27" customFormat="false" ht="34.5" hidden="false" customHeight="true" outlineLevel="0" collapsed="false">
      <c r="A27" s="16" t="s">
        <v>135</v>
      </c>
      <c r="B27" s="16" t="s">
        <v>129</v>
      </c>
      <c r="C27" s="10" t="s">
        <v>136</v>
      </c>
      <c r="D27" s="10" t="s">
        <v>137</v>
      </c>
      <c r="E27" s="16" t="n">
        <v>8</v>
      </c>
      <c r="F27" s="16" t="s">
        <v>62</v>
      </c>
      <c r="G27" s="16" t="s">
        <v>71</v>
      </c>
      <c r="H27" s="16" t="s">
        <v>72</v>
      </c>
    </row>
    <row r="28" customFormat="false" ht="23.25" hidden="false" customHeight="true" outlineLevel="0" collapsed="false">
      <c r="A28" s="16" t="s">
        <v>138</v>
      </c>
      <c r="B28" s="16" t="s">
        <v>129</v>
      </c>
      <c r="C28" s="10" t="s">
        <v>139</v>
      </c>
      <c r="D28" s="10" t="s">
        <v>140</v>
      </c>
      <c r="E28" s="16" t="n">
        <v>3</v>
      </c>
      <c r="F28" s="16" t="s">
        <v>95</v>
      </c>
      <c r="G28" s="16" t="s">
        <v>71</v>
      </c>
      <c r="H28" s="16" t="s">
        <v>72</v>
      </c>
    </row>
    <row r="29" customFormat="false" ht="34.5" hidden="false" customHeight="true" outlineLevel="0" collapsed="false">
      <c r="A29" s="16" t="s">
        <v>141</v>
      </c>
      <c r="B29" s="16" t="s">
        <v>142</v>
      </c>
      <c r="C29" s="10" t="s">
        <v>143</v>
      </c>
      <c r="D29" s="10" t="s">
        <v>144</v>
      </c>
      <c r="E29" s="16" t="n">
        <v>5</v>
      </c>
      <c r="F29" s="16" t="s">
        <v>62</v>
      </c>
      <c r="G29" s="16" t="s">
        <v>71</v>
      </c>
      <c r="H29" s="16" t="s">
        <v>72</v>
      </c>
    </row>
    <row r="30" customFormat="false" ht="34.5" hidden="false" customHeight="true" outlineLevel="0" collapsed="false">
      <c r="A30" s="16" t="s">
        <v>145</v>
      </c>
      <c r="B30" s="16" t="s">
        <v>142</v>
      </c>
      <c r="C30" s="10" t="s">
        <v>146</v>
      </c>
      <c r="D30" s="10" t="s">
        <v>147</v>
      </c>
      <c r="E30" s="16" t="n">
        <v>3</v>
      </c>
      <c r="F30" s="16" t="s">
        <v>62</v>
      </c>
      <c r="G30" s="16" t="s">
        <v>71</v>
      </c>
      <c r="H30" s="16" t="s">
        <v>72</v>
      </c>
    </row>
    <row r="31" customFormat="false" ht="34.5" hidden="false" customHeight="true" outlineLevel="0" collapsed="false">
      <c r="A31" s="16" t="s">
        <v>148</v>
      </c>
      <c r="B31" s="16" t="s">
        <v>142</v>
      </c>
      <c r="C31" s="10" t="s">
        <v>149</v>
      </c>
      <c r="D31" s="10" t="s">
        <v>150</v>
      </c>
      <c r="E31" s="16" t="n">
        <v>3</v>
      </c>
      <c r="F31" s="16" t="s">
        <v>62</v>
      </c>
      <c r="G31" s="16" t="s">
        <v>71</v>
      </c>
      <c r="H31" s="16" t="s">
        <v>72</v>
      </c>
    </row>
    <row r="32" customFormat="false" ht="34.5" hidden="false" customHeight="true" outlineLevel="0" collapsed="false">
      <c r="A32" s="16" t="s">
        <v>151</v>
      </c>
      <c r="B32" s="16" t="s">
        <v>142</v>
      </c>
      <c r="C32" s="10" t="s">
        <v>152</v>
      </c>
      <c r="D32" s="10" t="s">
        <v>153</v>
      </c>
      <c r="E32" s="16" t="n">
        <v>3</v>
      </c>
      <c r="F32" s="16" t="s">
        <v>62</v>
      </c>
      <c r="G32" s="16" t="s">
        <v>71</v>
      </c>
      <c r="H32" s="16" t="s">
        <v>72</v>
      </c>
    </row>
    <row r="33" customFormat="false" ht="34.5" hidden="false" customHeight="true" outlineLevel="0" collapsed="false">
      <c r="A33" s="16" t="s">
        <v>154</v>
      </c>
      <c r="B33" s="16" t="s">
        <v>142</v>
      </c>
      <c r="C33" s="10" t="s">
        <v>155</v>
      </c>
      <c r="D33" s="10" t="s">
        <v>156</v>
      </c>
      <c r="E33" s="16" t="n">
        <v>2</v>
      </c>
      <c r="F33" s="16" t="s">
        <v>62</v>
      </c>
      <c r="G33" s="16" t="s">
        <v>71</v>
      </c>
      <c r="H33" s="16" t="s">
        <v>72</v>
      </c>
    </row>
    <row r="34" customFormat="false" ht="34.5" hidden="false" customHeight="true" outlineLevel="0" collapsed="false">
      <c r="A34" s="16" t="s">
        <v>157</v>
      </c>
      <c r="B34" s="16" t="s">
        <v>142</v>
      </c>
      <c r="C34" s="10" t="s">
        <v>158</v>
      </c>
      <c r="D34" s="10" t="s">
        <v>159</v>
      </c>
      <c r="E34" s="16" t="n">
        <v>2</v>
      </c>
      <c r="F34" s="16" t="s">
        <v>62</v>
      </c>
      <c r="G34" s="16" t="s">
        <v>71</v>
      </c>
      <c r="H34" s="16" t="s">
        <v>64</v>
      </c>
    </row>
  </sheetData>
  <mergeCells count="2">
    <mergeCell ref="A1:H1"/>
    <mergeCell ref="A2:H2"/>
  </mergeCells>
  <conditionalFormatting sqref="G5:G34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8"/>
    <col collapsed="false" customWidth="true" hidden="false" outlineLevel="0" max="5" min="5" style="1" width="38"/>
    <col collapsed="false" customWidth="true" hidden="false" outlineLevel="0" max="6" min="6" style="1" width="28"/>
    <col collapsed="false" customWidth="true" hidden="false" outlineLevel="0" max="7" min="7" style="1" width="14"/>
  </cols>
  <sheetData>
    <row r="1" customFormat="false" ht="21.75" hidden="false" customHeight="true" outlineLevel="0" collapsed="false">
      <c r="A1" s="14" t="s">
        <v>160</v>
      </c>
      <c r="B1" s="14"/>
      <c r="C1" s="14"/>
      <c r="D1" s="14"/>
      <c r="E1" s="14"/>
      <c r="F1" s="14"/>
      <c r="G1" s="14"/>
    </row>
    <row r="2" customFormat="false" ht="15" hidden="false" customHeight="true" outlineLevel="0" collapsed="false">
      <c r="A2" s="15" t="s">
        <v>161</v>
      </c>
      <c r="B2" s="15"/>
      <c r="C2" s="15"/>
      <c r="D2" s="15"/>
      <c r="E2" s="15"/>
      <c r="F2" s="15"/>
      <c r="G2" s="15"/>
    </row>
    <row r="4" customFormat="false" ht="27.75" hidden="false" customHeight="true" outlineLevel="0" collapsed="false">
      <c r="A4" s="8" t="s">
        <v>162</v>
      </c>
      <c r="B4" s="8" t="s">
        <v>163</v>
      </c>
      <c r="C4" s="8" t="s">
        <v>164</v>
      </c>
      <c r="D4" s="8" t="s">
        <v>165</v>
      </c>
      <c r="E4" s="8" t="s">
        <v>166</v>
      </c>
      <c r="F4" s="8" t="s">
        <v>167</v>
      </c>
      <c r="G4" s="8" t="s">
        <v>56</v>
      </c>
    </row>
    <row r="5" customFormat="false" ht="23.25" hidden="false" customHeight="true" outlineLevel="0" collapsed="false">
      <c r="A5" s="16" t="s">
        <v>168</v>
      </c>
      <c r="B5" s="16" t="s">
        <v>169</v>
      </c>
      <c r="C5" s="16" t="s">
        <v>170</v>
      </c>
      <c r="D5" s="16" t="n">
        <v>5</v>
      </c>
      <c r="E5" s="10" t="s">
        <v>171</v>
      </c>
      <c r="F5" s="10" t="s">
        <v>172</v>
      </c>
      <c r="G5" s="16" t="s">
        <v>173</v>
      </c>
    </row>
    <row r="6" customFormat="false" ht="23.25" hidden="false" customHeight="true" outlineLevel="0" collapsed="false">
      <c r="A6" s="16" t="s">
        <v>174</v>
      </c>
      <c r="B6" s="16" t="s">
        <v>175</v>
      </c>
      <c r="C6" s="16" t="s">
        <v>170</v>
      </c>
      <c r="D6" s="16" t="n">
        <v>5</v>
      </c>
      <c r="E6" s="10" t="s">
        <v>176</v>
      </c>
      <c r="F6" s="10" t="s">
        <v>65</v>
      </c>
      <c r="G6" s="16" t="s">
        <v>71</v>
      </c>
    </row>
    <row r="7" customFormat="false" ht="15" hidden="false" customHeight="true" outlineLevel="0" collapsed="false">
      <c r="A7" s="17" t="s">
        <v>177</v>
      </c>
      <c r="B7" s="17" t="s">
        <v>178</v>
      </c>
      <c r="C7" s="17" t="s">
        <v>179</v>
      </c>
      <c r="D7" s="17" t="n">
        <v>0</v>
      </c>
      <c r="E7" s="18" t="s">
        <v>180</v>
      </c>
      <c r="F7" s="18" t="s">
        <v>181</v>
      </c>
      <c r="G7" s="17" t="s">
        <v>181</v>
      </c>
    </row>
    <row r="8" customFormat="false" ht="23.25" hidden="false" customHeight="true" outlineLevel="0" collapsed="false">
      <c r="A8" s="16" t="s">
        <v>182</v>
      </c>
      <c r="B8" s="16" t="s">
        <v>183</v>
      </c>
      <c r="C8" s="16" t="s">
        <v>170</v>
      </c>
      <c r="D8" s="16" t="n">
        <v>5</v>
      </c>
      <c r="E8" s="10" t="s">
        <v>184</v>
      </c>
      <c r="F8" s="10" t="s">
        <v>185</v>
      </c>
      <c r="G8" s="16" t="s">
        <v>71</v>
      </c>
    </row>
    <row r="9" customFormat="false" ht="23.25" hidden="false" customHeight="true" outlineLevel="0" collapsed="false">
      <c r="A9" s="16" t="s">
        <v>186</v>
      </c>
      <c r="B9" s="16" t="s">
        <v>187</v>
      </c>
      <c r="C9" s="16" t="s">
        <v>170</v>
      </c>
      <c r="D9" s="16" t="n">
        <v>5</v>
      </c>
      <c r="E9" s="10" t="s">
        <v>188</v>
      </c>
      <c r="F9" s="10" t="s">
        <v>68</v>
      </c>
      <c r="G9" s="16" t="s">
        <v>71</v>
      </c>
    </row>
    <row r="10" customFormat="false" ht="23.25" hidden="false" customHeight="true" outlineLevel="0" collapsed="false">
      <c r="A10" s="16" t="s">
        <v>189</v>
      </c>
      <c r="B10" s="16" t="s">
        <v>190</v>
      </c>
      <c r="C10" s="16" t="s">
        <v>170</v>
      </c>
      <c r="D10" s="16" t="n">
        <v>5</v>
      </c>
      <c r="E10" s="10" t="s">
        <v>191</v>
      </c>
      <c r="F10" s="10" t="s">
        <v>68</v>
      </c>
      <c r="G10" s="16" t="s">
        <v>71</v>
      </c>
    </row>
    <row r="11" customFormat="false" ht="15" hidden="false" customHeight="true" outlineLevel="0" collapsed="false">
      <c r="A11" s="17" t="s">
        <v>192</v>
      </c>
      <c r="B11" s="17" t="s">
        <v>193</v>
      </c>
      <c r="C11" s="17" t="s">
        <v>179</v>
      </c>
      <c r="D11" s="17" t="n">
        <v>0</v>
      </c>
      <c r="E11" s="18" t="s">
        <v>180</v>
      </c>
      <c r="F11" s="18" t="s">
        <v>181</v>
      </c>
      <c r="G11" s="17" t="s">
        <v>181</v>
      </c>
    </row>
    <row r="12" customFormat="false" ht="23.25" hidden="false" customHeight="true" outlineLevel="0" collapsed="false">
      <c r="A12" s="16" t="s">
        <v>168</v>
      </c>
      <c r="B12" s="16" t="s">
        <v>194</v>
      </c>
      <c r="C12" s="16" t="s">
        <v>170</v>
      </c>
      <c r="D12" s="16" t="n">
        <v>5</v>
      </c>
      <c r="E12" s="10" t="s">
        <v>195</v>
      </c>
      <c r="F12" s="10" t="s">
        <v>68</v>
      </c>
      <c r="G12" s="16" t="s">
        <v>71</v>
      </c>
    </row>
    <row r="13" customFormat="false" ht="23.25" hidden="false" customHeight="true" outlineLevel="0" collapsed="false">
      <c r="A13" s="16" t="s">
        <v>174</v>
      </c>
      <c r="B13" s="16" t="s">
        <v>196</v>
      </c>
      <c r="C13" s="16" t="s">
        <v>197</v>
      </c>
      <c r="D13" s="16" t="n">
        <v>5</v>
      </c>
      <c r="E13" s="10" t="s">
        <v>198</v>
      </c>
      <c r="F13" s="10" t="s">
        <v>79</v>
      </c>
      <c r="G13" s="16" t="s">
        <v>71</v>
      </c>
    </row>
    <row r="14" customFormat="false" ht="23.25" hidden="false" customHeight="true" outlineLevel="0" collapsed="false">
      <c r="A14" s="17" t="s">
        <v>177</v>
      </c>
      <c r="B14" s="17" t="s">
        <v>199</v>
      </c>
      <c r="C14" s="17" t="s">
        <v>179</v>
      </c>
      <c r="D14" s="17" t="n">
        <v>0</v>
      </c>
      <c r="E14" s="18" t="s">
        <v>200</v>
      </c>
      <c r="F14" s="18" t="s">
        <v>181</v>
      </c>
      <c r="G14" s="17" t="s">
        <v>181</v>
      </c>
    </row>
    <row r="15" customFormat="false" ht="15" hidden="false" customHeight="true" outlineLevel="0" collapsed="false">
      <c r="A15" s="19" t="s">
        <v>201</v>
      </c>
      <c r="B15" s="19"/>
      <c r="C15" s="19"/>
      <c r="D15" s="20" t="n">
        <f aca="false">SUM(D5:D14)</f>
        <v>35</v>
      </c>
      <c r="E15" s="21" t="s">
        <v>202</v>
      </c>
      <c r="F15" s="21"/>
      <c r="G15" s="21"/>
    </row>
  </sheetData>
  <mergeCells count="4">
    <mergeCell ref="A1:G1"/>
    <mergeCell ref="A2:G2"/>
    <mergeCell ref="A15:C15"/>
    <mergeCell ref="E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4" min="3" style="1" width="8"/>
    <col collapsed="false" customWidth="true" hidden="false" outlineLevel="0" max="6" min="5" style="1" width="2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21.75" hidden="false" customHeight="true" outlineLevel="0" collapsed="false">
      <c r="A1" s="14" t="s">
        <v>203</v>
      </c>
      <c r="B1" s="14"/>
      <c r="C1" s="14"/>
      <c r="D1" s="14"/>
      <c r="E1" s="14"/>
      <c r="F1" s="14"/>
      <c r="G1" s="14"/>
      <c r="H1" s="14"/>
    </row>
    <row r="2" customFormat="false" ht="15" hidden="false" customHeight="true" outlineLevel="0" collapsed="false">
      <c r="A2" s="15" t="s">
        <v>204</v>
      </c>
      <c r="B2" s="15"/>
      <c r="C2" s="15"/>
      <c r="D2" s="15"/>
      <c r="E2" s="15"/>
      <c r="F2" s="15"/>
      <c r="G2" s="15"/>
      <c r="H2" s="15"/>
    </row>
    <row r="4" customFormat="false" ht="27.75" hidden="false" customHeight="true" outlineLevel="0" collapsed="false">
      <c r="A4" s="8" t="s">
        <v>163</v>
      </c>
      <c r="B4" s="8" t="s">
        <v>162</v>
      </c>
      <c r="C4" s="8" t="s">
        <v>51</v>
      </c>
      <c r="D4" s="8" t="s">
        <v>165</v>
      </c>
      <c r="E4" s="8" t="s">
        <v>205</v>
      </c>
      <c r="F4" s="8" t="s">
        <v>206</v>
      </c>
      <c r="G4" s="8" t="s">
        <v>207</v>
      </c>
      <c r="H4" s="8" t="s">
        <v>208</v>
      </c>
    </row>
    <row r="5" customFormat="false" ht="15" hidden="false" customHeight="true" outlineLevel="0" collapsed="false">
      <c r="A5" s="16" t="s">
        <v>169</v>
      </c>
      <c r="B5" s="16" t="s">
        <v>168</v>
      </c>
      <c r="C5" s="16" t="s">
        <v>59</v>
      </c>
      <c r="D5" s="22"/>
      <c r="E5" s="10"/>
      <c r="F5" s="10"/>
      <c r="G5" s="10"/>
      <c r="H5" s="9" t="str">
        <f aca="false">IF(OR(LEN(E5)&gt;0,LEN(F5)&gt;0,N(D5)&gt;0),"YES","")</f>
        <v/>
      </c>
    </row>
    <row r="6" customFormat="false" ht="15" hidden="false" customHeight="true" outlineLevel="0" collapsed="false">
      <c r="A6" s="16" t="s">
        <v>175</v>
      </c>
      <c r="B6" s="16" t="s">
        <v>174</v>
      </c>
      <c r="C6" s="16" t="s">
        <v>59</v>
      </c>
      <c r="D6" s="22"/>
      <c r="E6" s="10"/>
      <c r="F6" s="10"/>
      <c r="G6" s="10"/>
      <c r="H6" s="9" t="str">
        <f aca="false">IF(OR(LEN(E6)&gt;0,LEN(F6)&gt;0,N(D6)&gt;0),"YES","")</f>
        <v/>
      </c>
    </row>
    <row r="7" customFormat="false" ht="15" hidden="false" customHeight="true" outlineLevel="0" collapsed="false">
      <c r="A7" s="16" t="s">
        <v>178</v>
      </c>
      <c r="B7" s="16" t="s">
        <v>177</v>
      </c>
      <c r="C7" s="16" t="s">
        <v>59</v>
      </c>
      <c r="D7" s="22"/>
      <c r="E7" s="10"/>
      <c r="F7" s="10"/>
      <c r="G7" s="10"/>
      <c r="H7" s="9" t="str">
        <f aca="false">IF(OR(LEN(E7)&gt;0,LEN(F7)&gt;0,N(D7)&gt;0),"YES","")</f>
        <v/>
      </c>
    </row>
    <row r="8" customFormat="false" ht="15" hidden="false" customHeight="true" outlineLevel="0" collapsed="false">
      <c r="A8" s="16" t="s">
        <v>183</v>
      </c>
      <c r="B8" s="16" t="s">
        <v>182</v>
      </c>
      <c r="C8" s="16" t="s">
        <v>59</v>
      </c>
      <c r="D8" s="22"/>
      <c r="E8" s="10"/>
      <c r="F8" s="10"/>
      <c r="G8" s="10"/>
      <c r="H8" s="9" t="str">
        <f aca="false">IF(OR(LEN(E8)&gt;0,LEN(F8)&gt;0,N(D8)&gt;0),"YES","")</f>
        <v/>
      </c>
    </row>
    <row r="9" customFormat="false" ht="15" hidden="false" customHeight="true" outlineLevel="0" collapsed="false">
      <c r="A9" s="16" t="s">
        <v>187</v>
      </c>
      <c r="B9" s="16" t="s">
        <v>186</v>
      </c>
      <c r="C9" s="16" t="s">
        <v>59</v>
      </c>
      <c r="D9" s="22"/>
      <c r="E9" s="10"/>
      <c r="F9" s="10"/>
      <c r="G9" s="10"/>
      <c r="H9" s="9" t="str">
        <f aca="false">IF(OR(LEN(E9)&gt;0,LEN(F9)&gt;0,N(D9)&gt;0),"YES","")</f>
        <v/>
      </c>
    </row>
    <row r="10" customFormat="false" ht="15" hidden="false" customHeight="true" outlineLevel="0" collapsed="false">
      <c r="A10" s="17" t="s">
        <v>190</v>
      </c>
      <c r="B10" s="17" t="s">
        <v>189</v>
      </c>
      <c r="C10" s="17" t="s">
        <v>59</v>
      </c>
      <c r="D10" s="23"/>
      <c r="E10" s="18"/>
      <c r="F10" s="18"/>
      <c r="G10" s="18"/>
      <c r="H10" s="24" t="str">
        <f aca="false">IF(OR(LEN(E10)&gt;0,LEN(F10)&gt;0,N(D10)&gt;0),"YES","")</f>
        <v/>
      </c>
    </row>
    <row r="11" customFormat="false" ht="15" hidden="false" customHeight="true" outlineLevel="0" collapsed="false">
      <c r="A11" s="17" t="s">
        <v>193</v>
      </c>
      <c r="B11" s="17" t="s">
        <v>192</v>
      </c>
      <c r="C11" s="17" t="s">
        <v>59</v>
      </c>
      <c r="D11" s="23"/>
      <c r="E11" s="18"/>
      <c r="F11" s="18"/>
      <c r="G11" s="18"/>
      <c r="H11" s="24" t="str">
        <f aca="false">IF(OR(LEN(E11)&gt;0,LEN(F11)&gt;0,N(D11)&gt;0),"YES","")</f>
        <v/>
      </c>
    </row>
    <row r="12" customFormat="false" ht="15" hidden="false" customHeight="true" outlineLevel="0" collapsed="false">
      <c r="A12" s="16" t="s">
        <v>194</v>
      </c>
      <c r="B12" s="16" t="s">
        <v>168</v>
      </c>
      <c r="C12" s="16" t="s">
        <v>59</v>
      </c>
      <c r="D12" s="22"/>
      <c r="E12" s="10"/>
      <c r="F12" s="10"/>
      <c r="G12" s="10"/>
      <c r="H12" s="9" t="str">
        <f aca="false">IF(OR(LEN(E12)&gt;0,LEN(F12)&gt;0,N(D12)&gt;0),"YES","")</f>
        <v/>
      </c>
    </row>
    <row r="13" customFormat="false" ht="15" hidden="false" customHeight="true" outlineLevel="0" collapsed="false">
      <c r="A13" s="16" t="s">
        <v>196</v>
      </c>
      <c r="B13" s="16" t="s">
        <v>174</v>
      </c>
      <c r="C13" s="16" t="s">
        <v>59</v>
      </c>
      <c r="D13" s="22"/>
      <c r="E13" s="10"/>
      <c r="F13" s="10"/>
      <c r="G13" s="10"/>
      <c r="H13" s="9" t="str">
        <f aca="false">IF(OR(LEN(E13)&gt;0,LEN(F13)&gt;0,N(D13)&gt;0),"YES","")</f>
        <v/>
      </c>
    </row>
    <row r="14" customFormat="false" ht="15" hidden="false" customHeight="true" outlineLevel="0" collapsed="false">
      <c r="A14" s="16" t="s">
        <v>199</v>
      </c>
      <c r="B14" s="16" t="s">
        <v>177</v>
      </c>
      <c r="C14" s="16" t="s">
        <v>59</v>
      </c>
      <c r="D14" s="22"/>
      <c r="E14" s="10"/>
      <c r="F14" s="10"/>
      <c r="G14" s="10"/>
      <c r="H14" s="9" t="str">
        <f aca="false">IF(OR(LEN(E14)&gt;0,LEN(F14)&gt;0,N(D14)&gt;0),"YES","")</f>
        <v/>
      </c>
    </row>
    <row r="15" customFormat="false" ht="15" hidden="false" customHeight="true" outlineLevel="0" collapsed="false">
      <c r="A15" s="16" t="s">
        <v>209</v>
      </c>
      <c r="B15" s="16" t="s">
        <v>182</v>
      </c>
      <c r="C15" s="16" t="s">
        <v>83</v>
      </c>
      <c r="D15" s="22"/>
      <c r="E15" s="10"/>
      <c r="F15" s="10"/>
      <c r="G15" s="10"/>
      <c r="H15" s="9" t="str">
        <f aca="false">IF(OR(LEN(E15)&gt;0,LEN(F15)&gt;0,N(D15)&gt;0),"YES","")</f>
        <v/>
      </c>
    </row>
    <row r="16" customFormat="false" ht="15" hidden="false" customHeight="true" outlineLevel="0" collapsed="false">
      <c r="A16" s="16" t="s">
        <v>210</v>
      </c>
      <c r="B16" s="16" t="s">
        <v>186</v>
      </c>
      <c r="C16" s="16" t="s">
        <v>83</v>
      </c>
      <c r="D16" s="22"/>
      <c r="E16" s="10"/>
      <c r="F16" s="10"/>
      <c r="G16" s="10"/>
      <c r="H16" s="9" t="str">
        <f aca="false">IF(OR(LEN(E16)&gt;0,LEN(F16)&gt;0,N(D16)&gt;0),"YES","")</f>
        <v/>
      </c>
    </row>
    <row r="17" customFormat="false" ht="15" hidden="false" customHeight="true" outlineLevel="0" collapsed="false">
      <c r="A17" s="17" t="s">
        <v>211</v>
      </c>
      <c r="B17" s="17" t="s">
        <v>189</v>
      </c>
      <c r="C17" s="17" t="s">
        <v>83</v>
      </c>
      <c r="D17" s="23"/>
      <c r="E17" s="18"/>
      <c r="F17" s="18"/>
      <c r="G17" s="18"/>
      <c r="H17" s="24" t="str">
        <f aca="false">IF(OR(LEN(E17)&gt;0,LEN(F17)&gt;0,N(D17)&gt;0),"YES","")</f>
        <v/>
      </c>
    </row>
    <row r="18" customFormat="false" ht="15" hidden="false" customHeight="true" outlineLevel="0" collapsed="false">
      <c r="A18" s="17" t="s">
        <v>212</v>
      </c>
      <c r="B18" s="17" t="s">
        <v>192</v>
      </c>
      <c r="C18" s="17" t="s">
        <v>83</v>
      </c>
      <c r="D18" s="23"/>
      <c r="E18" s="18"/>
      <c r="F18" s="18"/>
      <c r="G18" s="18"/>
      <c r="H18" s="24" t="str">
        <f aca="false">IF(OR(LEN(E18)&gt;0,LEN(F18)&gt;0,N(D18)&gt;0),"YES","")</f>
        <v/>
      </c>
    </row>
    <row r="19" customFormat="false" ht="15" hidden="false" customHeight="true" outlineLevel="0" collapsed="false">
      <c r="A19" s="16" t="s">
        <v>213</v>
      </c>
      <c r="B19" s="16" t="s">
        <v>168</v>
      </c>
      <c r="C19" s="16" t="s">
        <v>83</v>
      </c>
      <c r="D19" s="22"/>
      <c r="E19" s="10"/>
      <c r="F19" s="10"/>
      <c r="G19" s="10"/>
      <c r="H19" s="9" t="str">
        <f aca="false">IF(OR(LEN(E19)&gt;0,LEN(F19)&gt;0,N(D19)&gt;0),"YES","")</f>
        <v/>
      </c>
    </row>
    <row r="20" customFormat="false" ht="15" hidden="false" customHeight="true" outlineLevel="0" collapsed="false">
      <c r="A20" s="16" t="s">
        <v>214</v>
      </c>
      <c r="B20" s="16" t="s">
        <v>174</v>
      </c>
      <c r="C20" s="16" t="s">
        <v>83</v>
      </c>
      <c r="D20" s="22"/>
      <c r="E20" s="10"/>
      <c r="F20" s="10"/>
      <c r="G20" s="10"/>
      <c r="H20" s="9" t="str">
        <f aca="false">IF(OR(LEN(E20)&gt;0,LEN(F20)&gt;0,N(D20)&gt;0),"YES","")</f>
        <v/>
      </c>
    </row>
    <row r="21" customFormat="false" ht="15" hidden="false" customHeight="true" outlineLevel="0" collapsed="false">
      <c r="A21" s="16" t="s">
        <v>215</v>
      </c>
      <c r="B21" s="16" t="s">
        <v>177</v>
      </c>
      <c r="C21" s="16" t="s">
        <v>83</v>
      </c>
      <c r="D21" s="22"/>
      <c r="E21" s="10"/>
      <c r="F21" s="10"/>
      <c r="G21" s="10"/>
      <c r="H21" s="9" t="str">
        <f aca="false">IF(OR(LEN(E21)&gt;0,LEN(F21)&gt;0,N(D21)&gt;0),"YES","")</f>
        <v/>
      </c>
    </row>
    <row r="22" customFormat="false" ht="15" hidden="false" customHeight="true" outlineLevel="0" collapsed="false">
      <c r="A22" s="16" t="s">
        <v>216</v>
      </c>
      <c r="B22" s="16" t="s">
        <v>182</v>
      </c>
      <c r="C22" s="16" t="s">
        <v>83</v>
      </c>
      <c r="D22" s="22"/>
      <c r="E22" s="10"/>
      <c r="F22" s="10"/>
      <c r="G22" s="10"/>
      <c r="H22" s="9" t="str">
        <f aca="false">IF(OR(LEN(E22)&gt;0,LEN(F22)&gt;0,N(D22)&gt;0),"YES","")</f>
        <v/>
      </c>
    </row>
    <row r="23" customFormat="false" ht="15" hidden="false" customHeight="true" outlineLevel="0" collapsed="false">
      <c r="A23" s="16" t="s">
        <v>217</v>
      </c>
      <c r="B23" s="16" t="s">
        <v>186</v>
      </c>
      <c r="C23" s="16" t="s">
        <v>83</v>
      </c>
      <c r="D23" s="22"/>
      <c r="E23" s="10"/>
      <c r="F23" s="10"/>
      <c r="G23" s="10"/>
      <c r="H23" s="9" t="str">
        <f aca="false">IF(OR(LEN(E23)&gt;0,LEN(F23)&gt;0,N(D23)&gt;0),"YES","")</f>
        <v/>
      </c>
    </row>
    <row r="24" customFormat="false" ht="15" hidden="false" customHeight="true" outlineLevel="0" collapsed="false">
      <c r="A24" s="17" t="s">
        <v>218</v>
      </c>
      <c r="B24" s="17" t="s">
        <v>189</v>
      </c>
      <c r="C24" s="17" t="s">
        <v>83</v>
      </c>
      <c r="D24" s="23"/>
      <c r="E24" s="18"/>
      <c r="F24" s="18"/>
      <c r="G24" s="18"/>
      <c r="H24" s="24" t="str">
        <f aca="false">IF(OR(LEN(E24)&gt;0,LEN(F24)&gt;0,N(D24)&gt;0),"YES","")</f>
        <v/>
      </c>
    </row>
    <row r="25" customFormat="false" ht="15" hidden="false" customHeight="true" outlineLevel="0" collapsed="false">
      <c r="A25" s="17" t="s">
        <v>219</v>
      </c>
      <c r="B25" s="17" t="s">
        <v>192</v>
      </c>
      <c r="C25" s="17" t="s">
        <v>100</v>
      </c>
      <c r="D25" s="23"/>
      <c r="E25" s="18"/>
      <c r="F25" s="18"/>
      <c r="G25" s="18"/>
      <c r="H25" s="24" t="str">
        <f aca="false">IF(OR(LEN(E25)&gt;0,LEN(F25)&gt;0,N(D25)&gt;0),"YES","")</f>
        <v/>
      </c>
    </row>
    <row r="26" customFormat="false" ht="15" hidden="false" customHeight="true" outlineLevel="0" collapsed="false">
      <c r="A26" s="16" t="s">
        <v>220</v>
      </c>
      <c r="B26" s="16" t="s">
        <v>168</v>
      </c>
      <c r="C26" s="16" t="s">
        <v>100</v>
      </c>
      <c r="D26" s="22"/>
      <c r="E26" s="10"/>
      <c r="F26" s="10"/>
      <c r="G26" s="10"/>
      <c r="H26" s="9" t="str">
        <f aca="false">IF(OR(LEN(E26)&gt;0,LEN(F26)&gt;0,N(D26)&gt;0),"YES","")</f>
        <v/>
      </c>
    </row>
    <row r="27" customFormat="false" ht="15" hidden="false" customHeight="true" outlineLevel="0" collapsed="false">
      <c r="A27" s="16" t="s">
        <v>221</v>
      </c>
      <c r="B27" s="16" t="s">
        <v>174</v>
      </c>
      <c r="C27" s="16" t="s">
        <v>100</v>
      </c>
      <c r="D27" s="22"/>
      <c r="E27" s="10"/>
      <c r="F27" s="10"/>
      <c r="G27" s="10"/>
      <c r="H27" s="9" t="str">
        <f aca="false">IF(OR(LEN(E27)&gt;0,LEN(F27)&gt;0,N(D27)&gt;0),"YES","")</f>
        <v/>
      </c>
    </row>
    <row r="28" customFormat="false" ht="15" hidden="false" customHeight="true" outlineLevel="0" collapsed="false">
      <c r="A28" s="16" t="s">
        <v>222</v>
      </c>
      <c r="B28" s="16" t="s">
        <v>177</v>
      </c>
      <c r="C28" s="16" t="s">
        <v>100</v>
      </c>
      <c r="D28" s="22"/>
      <c r="E28" s="10"/>
      <c r="F28" s="10"/>
      <c r="G28" s="10"/>
      <c r="H28" s="9" t="str">
        <f aca="false">IF(OR(LEN(E28)&gt;0,LEN(F28)&gt;0,N(D28)&gt;0),"YES","")</f>
        <v/>
      </c>
    </row>
    <row r="29" customFormat="false" ht="15" hidden="false" customHeight="true" outlineLevel="0" collapsed="false">
      <c r="A29" s="16" t="s">
        <v>223</v>
      </c>
      <c r="B29" s="16" t="s">
        <v>182</v>
      </c>
      <c r="C29" s="16" t="s">
        <v>100</v>
      </c>
      <c r="D29" s="22"/>
      <c r="E29" s="10"/>
      <c r="F29" s="10"/>
      <c r="G29" s="10"/>
      <c r="H29" s="9" t="str">
        <f aca="false">IF(OR(LEN(E29)&gt;0,LEN(F29)&gt;0,N(D29)&gt;0),"YES","")</f>
        <v/>
      </c>
    </row>
    <row r="30" customFormat="false" ht="15" hidden="false" customHeight="true" outlineLevel="0" collapsed="false">
      <c r="A30" s="16" t="s">
        <v>224</v>
      </c>
      <c r="B30" s="16" t="s">
        <v>186</v>
      </c>
      <c r="C30" s="16" t="s">
        <v>100</v>
      </c>
      <c r="D30" s="22"/>
      <c r="E30" s="10"/>
      <c r="F30" s="10"/>
      <c r="G30" s="10"/>
      <c r="H30" s="9" t="str">
        <f aca="false">IF(OR(LEN(E30)&gt;0,LEN(F30)&gt;0,N(D30)&gt;0),"YES","")</f>
        <v/>
      </c>
    </row>
    <row r="31" customFormat="false" ht="15" hidden="false" customHeight="true" outlineLevel="0" collapsed="false">
      <c r="A31" s="17" t="s">
        <v>225</v>
      </c>
      <c r="B31" s="17" t="s">
        <v>189</v>
      </c>
      <c r="C31" s="17" t="s">
        <v>100</v>
      </c>
      <c r="D31" s="23"/>
      <c r="E31" s="18"/>
      <c r="F31" s="18"/>
      <c r="G31" s="18"/>
      <c r="H31" s="24" t="str">
        <f aca="false">IF(OR(LEN(E31)&gt;0,LEN(F31)&gt;0,N(D31)&gt;0),"YES","")</f>
        <v/>
      </c>
    </row>
    <row r="32" customFormat="false" ht="15" hidden="false" customHeight="true" outlineLevel="0" collapsed="false">
      <c r="A32" s="17" t="s">
        <v>226</v>
      </c>
      <c r="B32" s="17" t="s">
        <v>192</v>
      </c>
      <c r="C32" s="17" t="s">
        <v>100</v>
      </c>
      <c r="D32" s="23"/>
      <c r="E32" s="18"/>
      <c r="F32" s="18"/>
      <c r="G32" s="18"/>
      <c r="H32" s="24" t="str">
        <f aca="false">IF(OR(LEN(E32)&gt;0,LEN(F32)&gt;0,N(D32)&gt;0),"YES","")</f>
        <v/>
      </c>
    </row>
    <row r="33" customFormat="false" ht="15" hidden="false" customHeight="true" outlineLevel="0" collapsed="false">
      <c r="A33" s="16" t="s">
        <v>227</v>
      </c>
      <c r="B33" s="16" t="s">
        <v>168</v>
      </c>
      <c r="C33" s="16" t="s">
        <v>100</v>
      </c>
      <c r="D33" s="22"/>
      <c r="E33" s="10"/>
      <c r="F33" s="10"/>
      <c r="G33" s="10"/>
      <c r="H33" s="9" t="str">
        <f aca="false">IF(OR(LEN(E33)&gt;0,LEN(F33)&gt;0,N(D33)&gt;0),"YES","")</f>
        <v/>
      </c>
    </row>
    <row r="34" customFormat="false" ht="15" hidden="false" customHeight="true" outlineLevel="0" collapsed="false">
      <c r="A34" s="16" t="s">
        <v>228</v>
      </c>
      <c r="B34" s="16" t="s">
        <v>174</v>
      </c>
      <c r="C34" s="16" t="s">
        <v>100</v>
      </c>
      <c r="D34" s="22"/>
      <c r="E34" s="10"/>
      <c r="F34" s="10"/>
      <c r="G34" s="10"/>
      <c r="H34" s="9" t="str">
        <f aca="false">IF(OR(LEN(E34)&gt;0,LEN(F34)&gt;0,N(D34)&gt;0),"YES","")</f>
        <v/>
      </c>
    </row>
    <row r="35" customFormat="false" ht="15" hidden="false" customHeight="true" outlineLevel="0" collapsed="false">
      <c r="A35" s="16" t="s">
        <v>229</v>
      </c>
      <c r="B35" s="16" t="s">
        <v>177</v>
      </c>
      <c r="C35" s="16" t="s">
        <v>116</v>
      </c>
      <c r="D35" s="22"/>
      <c r="E35" s="10"/>
      <c r="F35" s="10"/>
      <c r="G35" s="10"/>
      <c r="H35" s="9" t="str">
        <f aca="false">IF(OR(LEN(E35)&gt;0,LEN(F35)&gt;0,N(D35)&gt;0),"YES","")</f>
        <v/>
      </c>
    </row>
    <row r="36" customFormat="false" ht="15" hidden="false" customHeight="true" outlineLevel="0" collapsed="false">
      <c r="A36" s="16" t="s">
        <v>230</v>
      </c>
      <c r="B36" s="16" t="s">
        <v>182</v>
      </c>
      <c r="C36" s="16" t="s">
        <v>116</v>
      </c>
      <c r="D36" s="22"/>
      <c r="E36" s="10"/>
      <c r="F36" s="10"/>
      <c r="G36" s="10"/>
      <c r="H36" s="9" t="str">
        <f aca="false">IF(OR(LEN(E36)&gt;0,LEN(F36)&gt;0,N(D36)&gt;0),"YES","")</f>
        <v/>
      </c>
    </row>
    <row r="37" customFormat="false" ht="15" hidden="false" customHeight="true" outlineLevel="0" collapsed="false">
      <c r="A37" s="16" t="s">
        <v>231</v>
      </c>
      <c r="B37" s="16" t="s">
        <v>186</v>
      </c>
      <c r="C37" s="16" t="s">
        <v>116</v>
      </c>
      <c r="D37" s="22"/>
      <c r="E37" s="10"/>
      <c r="F37" s="10"/>
      <c r="G37" s="10"/>
      <c r="H37" s="9" t="str">
        <f aca="false">IF(OR(LEN(E37)&gt;0,LEN(F37)&gt;0,N(D37)&gt;0),"YES","")</f>
        <v/>
      </c>
    </row>
    <row r="38" customFormat="false" ht="15" hidden="false" customHeight="true" outlineLevel="0" collapsed="false">
      <c r="A38" s="17" t="s">
        <v>232</v>
      </c>
      <c r="B38" s="17" t="s">
        <v>189</v>
      </c>
      <c r="C38" s="17" t="s">
        <v>116</v>
      </c>
      <c r="D38" s="23"/>
      <c r="E38" s="18"/>
      <c r="F38" s="18"/>
      <c r="G38" s="18"/>
      <c r="H38" s="24" t="str">
        <f aca="false">IF(OR(LEN(E38)&gt;0,LEN(F38)&gt;0,N(D38)&gt;0),"YES","")</f>
        <v/>
      </c>
    </row>
    <row r="39" customFormat="false" ht="15" hidden="false" customHeight="true" outlineLevel="0" collapsed="false">
      <c r="A39" s="17" t="s">
        <v>233</v>
      </c>
      <c r="B39" s="17" t="s">
        <v>192</v>
      </c>
      <c r="C39" s="17" t="s">
        <v>116</v>
      </c>
      <c r="D39" s="23"/>
      <c r="E39" s="18"/>
      <c r="F39" s="18"/>
      <c r="G39" s="18"/>
      <c r="H39" s="24" t="str">
        <f aca="false">IF(OR(LEN(E39)&gt;0,LEN(F39)&gt;0,N(D39)&gt;0),"YES","")</f>
        <v/>
      </c>
    </row>
    <row r="40" customFormat="false" ht="15" hidden="false" customHeight="true" outlineLevel="0" collapsed="false">
      <c r="A40" s="16" t="s">
        <v>234</v>
      </c>
      <c r="B40" s="16" t="s">
        <v>168</v>
      </c>
      <c r="C40" s="16" t="s">
        <v>116</v>
      </c>
      <c r="D40" s="22"/>
      <c r="E40" s="10"/>
      <c r="F40" s="10"/>
      <c r="G40" s="10"/>
      <c r="H40" s="9" t="str">
        <f aca="false">IF(OR(LEN(E40)&gt;0,LEN(F40)&gt;0,N(D40)&gt;0),"YES","")</f>
        <v/>
      </c>
    </row>
    <row r="41" customFormat="false" ht="15" hidden="false" customHeight="true" outlineLevel="0" collapsed="false">
      <c r="A41" s="16" t="s">
        <v>235</v>
      </c>
      <c r="B41" s="16" t="s">
        <v>174</v>
      </c>
      <c r="C41" s="16" t="s">
        <v>116</v>
      </c>
      <c r="D41" s="22"/>
      <c r="E41" s="10"/>
      <c r="F41" s="10"/>
      <c r="G41" s="10"/>
      <c r="H41" s="9" t="str">
        <f aca="false">IF(OR(LEN(E41)&gt;0,LEN(F41)&gt;0,N(D41)&gt;0),"YES","")</f>
        <v/>
      </c>
    </row>
    <row r="42" customFormat="false" ht="15" hidden="false" customHeight="true" outlineLevel="0" collapsed="false">
      <c r="A42" s="16" t="s">
        <v>236</v>
      </c>
      <c r="B42" s="16" t="s">
        <v>177</v>
      </c>
      <c r="C42" s="16" t="s">
        <v>116</v>
      </c>
      <c r="D42" s="22"/>
      <c r="E42" s="10"/>
      <c r="F42" s="10"/>
      <c r="G42" s="10"/>
      <c r="H42" s="9" t="str">
        <f aca="false">IF(OR(LEN(E42)&gt;0,LEN(F42)&gt;0,N(D42)&gt;0),"YES","")</f>
        <v/>
      </c>
    </row>
    <row r="43" customFormat="false" ht="15" hidden="false" customHeight="true" outlineLevel="0" collapsed="false">
      <c r="A43" s="16" t="s">
        <v>237</v>
      </c>
      <c r="B43" s="16" t="s">
        <v>182</v>
      </c>
      <c r="C43" s="16" t="s">
        <v>116</v>
      </c>
      <c r="D43" s="22"/>
      <c r="E43" s="10"/>
      <c r="F43" s="10"/>
      <c r="G43" s="10"/>
      <c r="H43" s="9" t="str">
        <f aca="false">IF(OR(LEN(E43)&gt;0,LEN(F43)&gt;0,N(D43)&gt;0),"YES","")</f>
        <v/>
      </c>
    </row>
    <row r="44" customFormat="false" ht="15" hidden="false" customHeight="true" outlineLevel="0" collapsed="false">
      <c r="A44" s="16" t="s">
        <v>238</v>
      </c>
      <c r="B44" s="16" t="s">
        <v>186</v>
      </c>
      <c r="C44" s="16" t="s">
        <v>116</v>
      </c>
      <c r="D44" s="22"/>
      <c r="E44" s="10"/>
      <c r="F44" s="10"/>
      <c r="G44" s="10"/>
      <c r="H44" s="9" t="str">
        <f aca="false">IF(OR(LEN(E44)&gt;0,LEN(F44)&gt;0,N(D44)&gt;0),"YES","")</f>
        <v/>
      </c>
    </row>
    <row r="45" customFormat="false" ht="15" hidden="false" customHeight="true" outlineLevel="0" collapsed="false">
      <c r="A45" s="17" t="s">
        <v>239</v>
      </c>
      <c r="B45" s="17" t="s">
        <v>189</v>
      </c>
      <c r="C45" s="17" t="s">
        <v>129</v>
      </c>
      <c r="D45" s="23"/>
      <c r="E45" s="18"/>
      <c r="F45" s="18"/>
      <c r="G45" s="18"/>
      <c r="H45" s="24" t="str">
        <f aca="false">IF(OR(LEN(E45)&gt;0,LEN(F45)&gt;0,N(D45)&gt;0),"YES","")</f>
        <v/>
      </c>
    </row>
    <row r="46" customFormat="false" ht="15" hidden="false" customHeight="true" outlineLevel="0" collapsed="false">
      <c r="A46" s="17" t="s">
        <v>240</v>
      </c>
      <c r="B46" s="17" t="s">
        <v>192</v>
      </c>
      <c r="C46" s="17" t="s">
        <v>129</v>
      </c>
      <c r="D46" s="23"/>
      <c r="E46" s="18"/>
      <c r="F46" s="18"/>
      <c r="G46" s="18"/>
      <c r="H46" s="24" t="str">
        <f aca="false">IF(OR(LEN(E46)&gt;0,LEN(F46)&gt;0,N(D46)&gt;0),"YES","")</f>
        <v/>
      </c>
    </row>
    <row r="47" customFormat="false" ht="15" hidden="false" customHeight="true" outlineLevel="0" collapsed="false">
      <c r="A47" s="16" t="s">
        <v>241</v>
      </c>
      <c r="B47" s="16" t="s">
        <v>168</v>
      </c>
      <c r="C47" s="16" t="s">
        <v>129</v>
      </c>
      <c r="D47" s="22"/>
      <c r="E47" s="10"/>
      <c r="F47" s="10"/>
      <c r="G47" s="10"/>
      <c r="H47" s="9" t="str">
        <f aca="false">IF(OR(LEN(E47)&gt;0,LEN(F47)&gt;0,N(D47)&gt;0),"YES","")</f>
        <v/>
      </c>
    </row>
    <row r="48" customFormat="false" ht="15" hidden="false" customHeight="true" outlineLevel="0" collapsed="false">
      <c r="A48" s="16" t="s">
        <v>242</v>
      </c>
      <c r="B48" s="16" t="s">
        <v>174</v>
      </c>
      <c r="C48" s="16" t="s">
        <v>129</v>
      </c>
      <c r="D48" s="22"/>
      <c r="E48" s="10"/>
      <c r="F48" s="10"/>
      <c r="G48" s="10"/>
      <c r="H48" s="9" t="str">
        <f aca="false">IF(OR(LEN(E48)&gt;0,LEN(F48)&gt;0,N(D48)&gt;0),"YES","")</f>
        <v/>
      </c>
    </row>
    <row r="49" customFormat="false" ht="15" hidden="false" customHeight="true" outlineLevel="0" collapsed="false">
      <c r="A49" s="16" t="s">
        <v>243</v>
      </c>
      <c r="B49" s="16" t="s">
        <v>177</v>
      </c>
      <c r="C49" s="16" t="s">
        <v>129</v>
      </c>
      <c r="D49" s="22"/>
      <c r="E49" s="10"/>
      <c r="F49" s="10"/>
      <c r="G49" s="10"/>
      <c r="H49" s="9" t="str">
        <f aca="false">IF(OR(LEN(E49)&gt;0,LEN(F49)&gt;0,N(D49)&gt;0),"YES","")</f>
        <v/>
      </c>
    </row>
    <row r="50" customFormat="false" ht="15" hidden="false" customHeight="true" outlineLevel="0" collapsed="false">
      <c r="A50" s="16" t="s">
        <v>244</v>
      </c>
      <c r="B50" s="16" t="s">
        <v>182</v>
      </c>
      <c r="C50" s="16" t="s">
        <v>129</v>
      </c>
      <c r="D50" s="22"/>
      <c r="E50" s="10"/>
      <c r="F50" s="10"/>
      <c r="G50" s="10"/>
      <c r="H50" s="9" t="str">
        <f aca="false">IF(OR(LEN(E50)&gt;0,LEN(F50)&gt;0,N(D50)&gt;0),"YES","")</f>
        <v/>
      </c>
    </row>
    <row r="51" customFormat="false" ht="15" hidden="false" customHeight="true" outlineLevel="0" collapsed="false">
      <c r="A51" s="16" t="s">
        <v>245</v>
      </c>
      <c r="B51" s="16" t="s">
        <v>186</v>
      </c>
      <c r="C51" s="16" t="s">
        <v>129</v>
      </c>
      <c r="D51" s="22"/>
      <c r="E51" s="10"/>
      <c r="F51" s="10"/>
      <c r="G51" s="10"/>
      <c r="H51" s="9" t="str">
        <f aca="false">IF(OR(LEN(E51)&gt;0,LEN(F51)&gt;0,N(D51)&gt;0),"YES","")</f>
        <v/>
      </c>
    </row>
    <row r="52" customFormat="false" ht="15" hidden="false" customHeight="true" outlineLevel="0" collapsed="false">
      <c r="A52" s="17" t="s">
        <v>246</v>
      </c>
      <c r="B52" s="17" t="s">
        <v>189</v>
      </c>
      <c r="C52" s="17" t="s">
        <v>129</v>
      </c>
      <c r="D52" s="23"/>
      <c r="E52" s="18"/>
      <c r="F52" s="18"/>
      <c r="G52" s="18"/>
      <c r="H52" s="24" t="str">
        <f aca="false">IF(OR(LEN(E52)&gt;0,LEN(F52)&gt;0,N(D52)&gt;0),"YES","")</f>
        <v/>
      </c>
    </row>
    <row r="53" customFormat="false" ht="15" hidden="false" customHeight="true" outlineLevel="0" collapsed="false">
      <c r="A53" s="17" t="s">
        <v>247</v>
      </c>
      <c r="B53" s="17" t="s">
        <v>192</v>
      </c>
      <c r="C53" s="17" t="s">
        <v>129</v>
      </c>
      <c r="D53" s="23"/>
      <c r="E53" s="18"/>
      <c r="F53" s="18"/>
      <c r="G53" s="18"/>
      <c r="H53" s="24" t="str">
        <f aca="false">IF(OR(LEN(E53)&gt;0,LEN(F53)&gt;0,N(D53)&gt;0),"YES","")</f>
        <v/>
      </c>
    </row>
    <row r="54" customFormat="false" ht="15" hidden="false" customHeight="true" outlineLevel="0" collapsed="false">
      <c r="A54" s="16" t="s">
        <v>248</v>
      </c>
      <c r="B54" s="16" t="s">
        <v>168</v>
      </c>
      <c r="C54" s="16" t="s">
        <v>129</v>
      </c>
      <c r="D54" s="22"/>
      <c r="E54" s="10"/>
      <c r="F54" s="10"/>
      <c r="G54" s="10"/>
      <c r="H54" s="9" t="str">
        <f aca="false">IF(OR(LEN(E54)&gt;0,LEN(F54)&gt;0,N(D54)&gt;0),"YES","")</f>
        <v/>
      </c>
    </row>
    <row r="55" customFormat="false" ht="15" hidden="false" customHeight="true" outlineLevel="0" collapsed="false">
      <c r="A55" s="16" t="s">
        <v>249</v>
      </c>
      <c r="B55" s="16" t="s">
        <v>174</v>
      </c>
      <c r="C55" s="16" t="s">
        <v>142</v>
      </c>
      <c r="D55" s="22"/>
      <c r="E55" s="10"/>
      <c r="F55" s="10"/>
      <c r="G55" s="10"/>
      <c r="H55" s="9" t="str">
        <f aca="false">IF(OR(LEN(E55)&gt;0,LEN(F55)&gt;0,N(D55)&gt;0),"YES","")</f>
        <v/>
      </c>
    </row>
    <row r="56" customFormat="false" ht="15" hidden="false" customHeight="true" outlineLevel="0" collapsed="false">
      <c r="A56" s="16" t="s">
        <v>250</v>
      </c>
      <c r="B56" s="16" t="s">
        <v>177</v>
      </c>
      <c r="C56" s="16" t="s">
        <v>142</v>
      </c>
      <c r="D56" s="22"/>
      <c r="E56" s="10"/>
      <c r="F56" s="10"/>
      <c r="G56" s="10"/>
      <c r="H56" s="9" t="str">
        <f aca="false">IF(OR(LEN(E56)&gt;0,LEN(F56)&gt;0,N(D56)&gt;0),"YES","")</f>
        <v/>
      </c>
    </row>
    <row r="57" customFormat="false" ht="15" hidden="false" customHeight="true" outlineLevel="0" collapsed="false">
      <c r="A57" s="16" t="s">
        <v>251</v>
      </c>
      <c r="B57" s="16" t="s">
        <v>182</v>
      </c>
      <c r="C57" s="16" t="s">
        <v>142</v>
      </c>
      <c r="D57" s="22"/>
      <c r="E57" s="10"/>
      <c r="F57" s="10"/>
      <c r="G57" s="10"/>
      <c r="H57" s="9" t="str">
        <f aca="false">IF(OR(LEN(E57)&gt;0,LEN(F57)&gt;0,N(D57)&gt;0),"YES","")</f>
        <v/>
      </c>
    </row>
    <row r="58" customFormat="false" ht="15" hidden="false" customHeight="true" outlineLevel="0" collapsed="false">
      <c r="A58" s="16" t="s">
        <v>252</v>
      </c>
      <c r="B58" s="16" t="s">
        <v>186</v>
      </c>
      <c r="C58" s="16" t="s">
        <v>142</v>
      </c>
      <c r="D58" s="22"/>
      <c r="E58" s="10"/>
      <c r="F58" s="10"/>
      <c r="G58" s="10"/>
      <c r="H58" s="9" t="str">
        <f aca="false">IF(OR(LEN(E58)&gt;0,LEN(F58)&gt;0,N(D58)&gt;0),"YES","")</f>
        <v/>
      </c>
    </row>
    <row r="59" customFormat="false" ht="15" hidden="false" customHeight="true" outlineLevel="0" collapsed="false">
      <c r="A59" s="17" t="s">
        <v>253</v>
      </c>
      <c r="B59" s="17" t="s">
        <v>189</v>
      </c>
      <c r="C59" s="17" t="s">
        <v>142</v>
      </c>
      <c r="D59" s="23"/>
      <c r="E59" s="18"/>
      <c r="F59" s="18"/>
      <c r="G59" s="18"/>
      <c r="H59" s="24" t="str">
        <f aca="false">IF(OR(LEN(E59)&gt;0,LEN(F59)&gt;0,N(D59)&gt;0),"YES","")</f>
        <v/>
      </c>
    </row>
    <row r="60" customFormat="false" ht="15" hidden="false" customHeight="true" outlineLevel="0" collapsed="false">
      <c r="A60" s="17" t="s">
        <v>254</v>
      </c>
      <c r="B60" s="17" t="s">
        <v>192</v>
      </c>
      <c r="C60" s="17" t="s">
        <v>142</v>
      </c>
      <c r="D60" s="23"/>
      <c r="E60" s="18"/>
      <c r="F60" s="18"/>
      <c r="G60" s="18"/>
      <c r="H60" s="24" t="str">
        <f aca="false">IF(OR(LEN(E60)&gt;0,LEN(F60)&gt;0,N(D60)&gt;0),"YES","")</f>
        <v/>
      </c>
    </row>
    <row r="61" customFormat="false" ht="15" hidden="false" customHeight="true" outlineLevel="0" collapsed="false">
      <c r="A61" s="16" t="s">
        <v>255</v>
      </c>
      <c r="B61" s="16" t="s">
        <v>168</v>
      </c>
      <c r="C61" s="16" t="s">
        <v>142</v>
      </c>
      <c r="D61" s="22"/>
      <c r="E61" s="10"/>
      <c r="F61" s="10"/>
      <c r="G61" s="10"/>
      <c r="H61" s="9" t="str">
        <f aca="false">IF(OR(LEN(E61)&gt;0,LEN(F61)&gt;0,N(D61)&gt;0),"YES","")</f>
        <v/>
      </c>
    </row>
    <row r="62" customFormat="false" ht="15" hidden="false" customHeight="true" outlineLevel="0" collapsed="false">
      <c r="A62" s="16" t="s">
        <v>256</v>
      </c>
      <c r="B62" s="16" t="s">
        <v>174</v>
      </c>
      <c r="C62" s="16" t="s">
        <v>142</v>
      </c>
      <c r="D62" s="22"/>
      <c r="E62" s="10"/>
      <c r="F62" s="10"/>
      <c r="G62" s="10"/>
      <c r="H62" s="9" t="str">
        <f aca="false">IF(OR(LEN(E62)&gt;0,LEN(F62)&gt;0,N(D62)&gt;0),"YES","")</f>
        <v/>
      </c>
    </row>
    <row r="63" customFormat="false" ht="15" hidden="false" customHeight="true" outlineLevel="0" collapsed="false">
      <c r="A63" s="16" t="s">
        <v>257</v>
      </c>
      <c r="B63" s="16" t="s">
        <v>177</v>
      </c>
      <c r="C63" s="16" t="s">
        <v>142</v>
      </c>
      <c r="D63" s="22"/>
      <c r="E63" s="10"/>
      <c r="F63" s="10"/>
      <c r="G63" s="10"/>
      <c r="H63" s="9" t="str">
        <f aca="false">IF(OR(LEN(E63)&gt;0,LEN(F63)&gt;0,N(D63)&gt;0),"YES","")</f>
        <v/>
      </c>
    </row>
    <row r="64" customFormat="false" ht="15" hidden="false" customHeight="true" outlineLevel="0" collapsed="false">
      <c r="A64" s="16" t="s">
        <v>258</v>
      </c>
      <c r="B64" s="16" t="s">
        <v>182</v>
      </c>
      <c r="C64" s="16" t="s">
        <v>142</v>
      </c>
      <c r="D64" s="22"/>
      <c r="E64" s="10"/>
      <c r="F64" s="10"/>
      <c r="G64" s="10"/>
      <c r="H64" s="9" t="str">
        <f aca="false">IF(OR(LEN(E64)&gt;0,LEN(F64)&gt;0,N(D64)&gt;0),"YES","")</f>
        <v/>
      </c>
    </row>
  </sheetData>
  <mergeCells count="2">
    <mergeCell ref="A1:H1"/>
    <mergeCell ref="A2:H2"/>
  </mergeCells>
  <conditionalFormatting sqref="H5:H64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5" min="3" style="1" width="14"/>
    <col collapsed="false" customWidth="true" hidden="false" outlineLevel="0" max="6" min="6" style="1" width="30"/>
  </cols>
  <sheetData>
    <row r="2" customFormat="false" ht="21.75" hidden="false" customHeight="true" outlineLevel="0" collapsed="false">
      <c r="B2" s="14" t="s">
        <v>259</v>
      </c>
      <c r="C2" s="14"/>
      <c r="D2" s="14"/>
      <c r="E2" s="14"/>
      <c r="F2" s="14"/>
    </row>
    <row r="4" customFormat="false" ht="27.75" hidden="false" customHeight="true" outlineLevel="0" collapsed="false">
      <c r="A4" s="8"/>
      <c r="B4" s="8" t="s">
        <v>260</v>
      </c>
      <c r="C4" s="8" t="s">
        <v>261</v>
      </c>
      <c r="D4" s="8" t="s">
        <v>262</v>
      </c>
      <c r="E4" s="8" t="s">
        <v>263</v>
      </c>
      <c r="F4" s="8" t="s">
        <v>264</v>
      </c>
    </row>
    <row r="5" customFormat="false" ht="15" hidden="false" customHeight="true" outlineLevel="0" collapsed="false">
      <c r="B5" s="25" t="s">
        <v>265</v>
      </c>
      <c r="C5" s="16" t="n">
        <v>42</v>
      </c>
      <c r="D5" s="26" t="n">
        <f aca="false">COUNTIF('Daily Log'!H5:H64,"YES")</f>
        <v>0</v>
      </c>
      <c r="E5" s="27" t="n">
        <f aca="false">IFERROR(D5/C5,0)</f>
        <v>0</v>
      </c>
      <c r="F5" s="10" t="s">
        <v>266</v>
      </c>
    </row>
    <row r="6" customFormat="false" ht="15" hidden="false" customHeight="true" outlineLevel="0" collapsed="false">
      <c r="B6" s="25" t="s">
        <v>267</v>
      </c>
      <c r="C6" s="16" t="n">
        <v>15</v>
      </c>
      <c r="D6" s="26" t="n">
        <v>0</v>
      </c>
      <c r="E6" s="27" t="n">
        <f aca="false">IFERROR(D6/C6,0)</f>
        <v>0</v>
      </c>
      <c r="F6" s="10" t="s">
        <v>268</v>
      </c>
    </row>
    <row r="7" customFormat="false" ht="15" hidden="false" customHeight="true" outlineLevel="0" collapsed="false">
      <c r="B7" s="25" t="s">
        <v>269</v>
      </c>
      <c r="C7" s="16" t="n">
        <v>3</v>
      </c>
      <c r="D7" s="26" t="n">
        <v>0</v>
      </c>
      <c r="E7" s="27" t="n">
        <f aca="false">IFERROR(D7/C7,0)</f>
        <v>0</v>
      </c>
      <c r="F7" s="10" t="s">
        <v>270</v>
      </c>
    </row>
    <row r="8" customFormat="false" ht="15" hidden="false" customHeight="true" outlineLevel="0" collapsed="false">
      <c r="B8" s="25" t="s">
        <v>271</v>
      </c>
      <c r="C8" s="16" t="n">
        <v>30</v>
      </c>
      <c r="D8" s="26" t="n">
        <f aca="false">COUNTIF('Job Apps'!E2:E500,"Yes")</f>
        <v>0</v>
      </c>
      <c r="E8" s="27" t="n">
        <f aca="false">IFERROR(D8/C8,0)</f>
        <v>0</v>
      </c>
      <c r="F8" s="10" t="s">
        <v>272</v>
      </c>
    </row>
    <row r="9" customFormat="false" ht="15" hidden="false" customHeight="true" outlineLevel="0" collapsed="false">
      <c r="B9" s="25" t="s">
        <v>273</v>
      </c>
      <c r="C9" s="16" t="n">
        <v>100</v>
      </c>
      <c r="D9" s="26" t="n">
        <f aca="false">SUM('Daily Log'!D5:D64)</f>
        <v>0</v>
      </c>
      <c r="E9" s="27" t="n">
        <f aca="false">IFERROR(D9/C9,0)</f>
        <v>0</v>
      </c>
      <c r="F9" s="10" t="s">
        <v>274</v>
      </c>
    </row>
    <row r="12" customFormat="false" ht="15" hidden="false" customHeight="true" outlineLevel="0" collapsed="false">
      <c r="B12" s="28" t="s">
        <v>275</v>
      </c>
    </row>
    <row r="13" customFormat="false" ht="27.75" hidden="false" customHeight="true" outlineLevel="0" collapsed="false">
      <c r="A13" s="8"/>
      <c r="B13" s="8" t="s">
        <v>51</v>
      </c>
      <c r="C13" s="8" t="s">
        <v>276</v>
      </c>
      <c r="D13" s="8" t="s">
        <v>63</v>
      </c>
      <c r="E13" s="8" t="s">
        <v>277</v>
      </c>
      <c r="F13" s="8" t="s">
        <v>56</v>
      </c>
    </row>
    <row r="14" customFormat="false" ht="15" hidden="false" customHeight="true" outlineLevel="0" collapsed="false">
      <c r="B14" s="9" t="s">
        <v>59</v>
      </c>
      <c r="C14" s="16" t="n">
        <f aca="false">COUNTIF('Product Backlog'!B:B,"S0")</f>
        <v>6</v>
      </c>
      <c r="D14" s="16" t="n">
        <f aca="false">COUNTIFS('Product Backlog'!B:B,"S0",'Product Backlog'!G:G,"Done")</f>
        <v>2</v>
      </c>
      <c r="E14" s="27" t="n">
        <f aca="false">IFERROR(D14/C14,0)</f>
        <v>0.333333333333333</v>
      </c>
      <c r="F14" s="16" t="str">
        <f aca="false">IF(E14=1,"✓ Done",IF(E14&gt;0,"In Progress","Not Started"))</f>
        <v>In Progress</v>
      </c>
    </row>
    <row r="15" customFormat="false" ht="15" hidden="false" customHeight="true" outlineLevel="0" collapsed="false">
      <c r="B15" s="9" t="s">
        <v>83</v>
      </c>
      <c r="C15" s="16" t="n">
        <f aca="false">COUNTIF('Product Backlog'!B:B,"S1")</f>
        <v>5</v>
      </c>
      <c r="D15" s="16" t="n">
        <f aca="false">COUNTIFS('Product Backlog'!B:B,"S1",'Product Backlog'!G:G,"Done")</f>
        <v>0</v>
      </c>
      <c r="E15" s="27" t="n">
        <f aca="false">IFERROR(D15/C15,0)</f>
        <v>0</v>
      </c>
      <c r="F15" s="16" t="str">
        <f aca="false">IF(E15=1,"✓ Done",IF(E15&gt;0,"In Progress","Not Started"))</f>
        <v>Not Started</v>
      </c>
    </row>
    <row r="16" customFormat="false" ht="15" hidden="false" customHeight="true" outlineLevel="0" collapsed="false">
      <c r="B16" s="9" t="s">
        <v>100</v>
      </c>
      <c r="C16" s="16" t="n">
        <f aca="false">COUNTIF('Product Backlog'!B:B,"S2")</f>
        <v>5</v>
      </c>
      <c r="D16" s="16" t="n">
        <f aca="false">COUNTIFS('Product Backlog'!B:B,"S2",'Product Backlog'!G:G,"Done")</f>
        <v>0</v>
      </c>
      <c r="E16" s="27" t="n">
        <f aca="false">IFERROR(D16/C16,0)</f>
        <v>0</v>
      </c>
      <c r="F16" s="16" t="str">
        <f aca="false">IF(E16=1,"✓ Done",IF(E16&gt;0,"In Progress","Not Started"))</f>
        <v>Not Started</v>
      </c>
    </row>
    <row r="17" customFormat="false" ht="15" hidden="false" customHeight="true" outlineLevel="0" collapsed="false">
      <c r="B17" s="9" t="s">
        <v>116</v>
      </c>
      <c r="C17" s="16" t="n">
        <f aca="false">COUNTIF('Product Backlog'!B:B,"S3")</f>
        <v>4</v>
      </c>
      <c r="D17" s="16" t="n">
        <f aca="false">COUNTIFS('Product Backlog'!B:B,"S3",'Product Backlog'!G:G,"Done")</f>
        <v>0</v>
      </c>
      <c r="E17" s="27" t="n">
        <f aca="false">IFERROR(D17/C17,0)</f>
        <v>0</v>
      </c>
      <c r="F17" s="16" t="str">
        <f aca="false">IF(E17=1,"✓ Done",IF(E17&gt;0,"In Progress","Not Started"))</f>
        <v>Not Started</v>
      </c>
    </row>
    <row r="18" customFormat="false" ht="15" hidden="false" customHeight="true" outlineLevel="0" collapsed="false">
      <c r="B18" s="9" t="s">
        <v>129</v>
      </c>
      <c r="C18" s="16" t="n">
        <f aca="false">COUNTIF('Product Backlog'!B:B,"S4")</f>
        <v>4</v>
      </c>
      <c r="D18" s="16" t="n">
        <f aca="false">COUNTIFS('Product Backlog'!B:B,"S4",'Product Backlog'!G:G,"Done")</f>
        <v>0</v>
      </c>
      <c r="E18" s="27" t="n">
        <f aca="false">IFERROR(D18/C18,0)</f>
        <v>0</v>
      </c>
      <c r="F18" s="16" t="str">
        <f aca="false">IF(E18=1,"✓ Done",IF(E18&gt;0,"In Progress","Not Started"))</f>
        <v>Not Started</v>
      </c>
    </row>
    <row r="19" customFormat="false" ht="15" hidden="false" customHeight="true" outlineLevel="0" collapsed="false">
      <c r="B19" s="9" t="s">
        <v>142</v>
      </c>
      <c r="C19" s="16" t="n">
        <f aca="false">COUNTIF('Product Backlog'!B:B,"S5")</f>
        <v>6</v>
      </c>
      <c r="D19" s="16" t="n">
        <f aca="false">COUNTIFS('Product Backlog'!B:B,"S5",'Product Backlog'!G:G,"Done")</f>
        <v>0</v>
      </c>
      <c r="E19" s="27" t="n">
        <f aca="false">IFERROR(D19/C19,0)</f>
        <v>0</v>
      </c>
      <c r="F19" s="16" t="str">
        <f aca="false">IF(E19=1,"✓ Done",IF(E19&gt;0,"In Progress","Not Started"))</f>
        <v>Not Started</v>
      </c>
    </row>
  </sheetData>
  <mergeCells count="1">
    <mergeCell ref="B2:F2"/>
  </mergeCells>
  <conditionalFormatting sqref="E5:E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14:E19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4"/>
  </cols>
  <sheetData>
    <row r="1" customFormat="false" ht="21.75" hidden="false" customHeight="true" outlineLevel="0" collapsed="false">
      <c r="A1" s="14" t="s">
        <v>278</v>
      </c>
      <c r="B1" s="14"/>
      <c r="C1" s="14"/>
      <c r="D1" s="14"/>
      <c r="E1" s="14"/>
    </row>
    <row r="3" customFormat="false" ht="27.75" hidden="false" customHeight="true" outlineLevel="0" collapsed="false">
      <c r="A3" s="8" t="s">
        <v>162</v>
      </c>
      <c r="B3" s="8" t="s">
        <v>163</v>
      </c>
      <c r="C3" s="8" t="s">
        <v>279</v>
      </c>
      <c r="D3" s="8" t="s">
        <v>280</v>
      </c>
      <c r="E3" s="8" t="s">
        <v>281</v>
      </c>
    </row>
    <row r="4" customFormat="false" ht="15" hidden="false" customHeight="true" outlineLevel="0" collapsed="false">
      <c r="A4" s="16" t="s">
        <v>168</v>
      </c>
      <c r="B4" s="16" t="s">
        <v>169</v>
      </c>
      <c r="C4" s="22" t="n">
        <v>12.86</v>
      </c>
      <c r="D4" s="22"/>
      <c r="E4" s="29" t="str">
        <f aca="false">IF(D4="","",D4-C4)</f>
        <v/>
      </c>
    </row>
    <row r="5" customFormat="false" ht="15" hidden="false" customHeight="true" outlineLevel="0" collapsed="false">
      <c r="A5" s="16" t="s">
        <v>174</v>
      </c>
      <c r="B5" s="16" t="s">
        <v>175</v>
      </c>
      <c r="C5" s="22" t="n">
        <v>10.71</v>
      </c>
      <c r="D5" s="22"/>
      <c r="E5" s="29" t="str">
        <f aca="false">IF(D5="","",D5-C5)</f>
        <v/>
      </c>
    </row>
    <row r="6" customFormat="false" ht="15" hidden="false" customHeight="true" outlineLevel="0" collapsed="false">
      <c r="A6" s="17" t="s">
        <v>177</v>
      </c>
      <c r="B6" s="17" t="s">
        <v>178</v>
      </c>
      <c r="C6" s="23" t="n">
        <v>10.71</v>
      </c>
      <c r="D6" s="23"/>
      <c r="E6" s="30" t="str">
        <f aca="false">IF(D6="","",D6-C6)</f>
        <v/>
      </c>
    </row>
    <row r="7" customFormat="false" ht="15" hidden="false" customHeight="true" outlineLevel="0" collapsed="false">
      <c r="A7" s="16" t="s">
        <v>182</v>
      </c>
      <c r="B7" s="16" t="s">
        <v>183</v>
      </c>
      <c r="C7" s="22" t="n">
        <v>8.57</v>
      </c>
      <c r="D7" s="22"/>
      <c r="E7" s="29" t="str">
        <f aca="false">IF(D7="","",D7-C7)</f>
        <v/>
      </c>
    </row>
    <row r="8" customFormat="false" ht="15" hidden="false" customHeight="true" outlineLevel="0" collapsed="false">
      <c r="A8" s="16" t="s">
        <v>186</v>
      </c>
      <c r="B8" s="16" t="s">
        <v>187</v>
      </c>
      <c r="C8" s="22" t="n">
        <v>6.43</v>
      </c>
      <c r="D8" s="22"/>
      <c r="E8" s="29" t="str">
        <f aca="false">IF(D8="","",D8-C8)</f>
        <v/>
      </c>
    </row>
    <row r="9" customFormat="false" ht="15" hidden="false" customHeight="true" outlineLevel="0" collapsed="false">
      <c r="A9" s="16" t="s">
        <v>189</v>
      </c>
      <c r="B9" s="16" t="s">
        <v>190</v>
      </c>
      <c r="C9" s="22" t="n">
        <v>4.29</v>
      </c>
      <c r="D9" s="22"/>
      <c r="E9" s="29" t="str">
        <f aca="false">IF(D9="","",D9-C9)</f>
        <v/>
      </c>
    </row>
    <row r="10" customFormat="false" ht="15" hidden="false" customHeight="true" outlineLevel="0" collapsed="false">
      <c r="A10" s="17" t="s">
        <v>192</v>
      </c>
      <c r="B10" s="17" t="s">
        <v>193</v>
      </c>
      <c r="C10" s="23" t="n">
        <v>4.29</v>
      </c>
      <c r="D10" s="23"/>
      <c r="E10" s="30" t="str">
        <f aca="false">IF(D10="","",D10-C10)</f>
        <v/>
      </c>
    </row>
    <row r="11" customFormat="false" ht="15" hidden="false" customHeight="true" outlineLevel="0" collapsed="false">
      <c r="A11" s="16" t="s">
        <v>168</v>
      </c>
      <c r="B11" s="16" t="s">
        <v>194</v>
      </c>
      <c r="C11" s="22" t="n">
        <v>2.14</v>
      </c>
      <c r="D11" s="22"/>
      <c r="E11" s="29" t="str">
        <f aca="false">IF(D11="","",D11-C11)</f>
        <v/>
      </c>
    </row>
    <row r="12" customFormat="false" ht="15" hidden="false" customHeight="true" outlineLevel="0" collapsed="false">
      <c r="A12" s="16" t="s">
        <v>174</v>
      </c>
      <c r="B12" s="16" t="s">
        <v>196</v>
      </c>
      <c r="C12" s="22" t="n">
        <v>0</v>
      </c>
      <c r="D12" s="22"/>
      <c r="E12" s="29" t="str">
        <f aca="false">IF(D12="","",D12-C12)</f>
        <v/>
      </c>
    </row>
    <row r="13" customFormat="false" ht="15" hidden="false" customHeight="true" outlineLevel="0" collapsed="false">
      <c r="A13" s="17" t="s">
        <v>177</v>
      </c>
      <c r="B13" s="17" t="s">
        <v>199</v>
      </c>
      <c r="C13" s="23" t="n">
        <v>0</v>
      </c>
      <c r="D13" s="23"/>
      <c r="E13" s="30" t="str">
        <f aca="false">IF(D13="","",D13-C13)</f>
        <v/>
      </c>
    </row>
    <row r="16" customFormat="false" ht="15" hidden="false" customHeight="true" outlineLevel="0" collapsed="false">
      <c r="A16" s="15" t="s">
        <v>282</v>
      </c>
      <c r="B16" s="15"/>
      <c r="C16" s="15"/>
      <c r="D16" s="15"/>
      <c r="E16" s="15"/>
    </row>
    <row r="17" customFormat="false" ht="15" hidden="false" customHeight="true" outlineLevel="0" collapsed="false">
      <c r="A17" s="15" t="s">
        <v>283</v>
      </c>
      <c r="B17" s="15"/>
      <c r="C17" s="15"/>
      <c r="D17" s="15"/>
      <c r="E17" s="15"/>
    </row>
  </sheetData>
  <mergeCells count="3">
    <mergeCell ref="A1:E1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6" min="6" style="1" width="38"/>
  </cols>
  <sheetData>
    <row r="1" customFormat="false" ht="21.75" hidden="false" customHeight="true" outlineLevel="0" collapsed="false">
      <c r="A1" s="14" t="s">
        <v>284</v>
      </c>
      <c r="B1" s="14"/>
      <c r="C1" s="14"/>
      <c r="D1" s="14"/>
      <c r="E1" s="14"/>
      <c r="F1" s="14"/>
    </row>
    <row r="3" customFormat="false" ht="27.75" hidden="false" customHeight="true" outlineLevel="0" collapsed="false">
      <c r="A3" s="8" t="s">
        <v>285</v>
      </c>
      <c r="B3" s="8" t="s">
        <v>286</v>
      </c>
      <c r="C3" s="8" t="s">
        <v>287</v>
      </c>
      <c r="D3" s="8" t="s">
        <v>288</v>
      </c>
      <c r="E3" s="8" t="s">
        <v>289</v>
      </c>
      <c r="F3" s="8" t="s">
        <v>290</v>
      </c>
    </row>
    <row r="4" customFormat="false" ht="23.25" hidden="false" customHeight="true" outlineLevel="0" collapsed="false">
      <c r="A4" s="16" t="s">
        <v>291</v>
      </c>
      <c r="B4" s="10" t="s">
        <v>292</v>
      </c>
      <c r="C4" s="16" t="s">
        <v>293</v>
      </c>
      <c r="D4" s="16" t="s">
        <v>293</v>
      </c>
      <c r="E4" s="16" t="n">
        <v>9</v>
      </c>
      <c r="F4" s="10" t="s">
        <v>294</v>
      </c>
    </row>
    <row r="5" customFormat="false" ht="23.25" hidden="false" customHeight="true" outlineLevel="0" collapsed="false">
      <c r="A5" s="16" t="s">
        <v>295</v>
      </c>
      <c r="B5" s="10" t="s">
        <v>296</v>
      </c>
      <c r="C5" s="16" t="s">
        <v>293</v>
      </c>
      <c r="D5" s="16" t="s">
        <v>297</v>
      </c>
      <c r="E5" s="16" t="n">
        <v>6</v>
      </c>
      <c r="F5" s="10" t="s">
        <v>298</v>
      </c>
    </row>
    <row r="6" customFormat="false" ht="23.25" hidden="false" customHeight="true" outlineLevel="0" collapsed="false">
      <c r="A6" s="16" t="s">
        <v>299</v>
      </c>
      <c r="B6" s="10" t="s">
        <v>300</v>
      </c>
      <c r="C6" s="16" t="s">
        <v>297</v>
      </c>
      <c r="D6" s="16" t="s">
        <v>297</v>
      </c>
      <c r="E6" s="16" t="n">
        <v>4</v>
      </c>
      <c r="F6" s="10" t="s">
        <v>301</v>
      </c>
    </row>
    <row r="7" customFormat="false" ht="23.25" hidden="false" customHeight="true" outlineLevel="0" collapsed="false">
      <c r="A7" s="16" t="s">
        <v>302</v>
      </c>
      <c r="B7" s="10" t="s">
        <v>303</v>
      </c>
      <c r="C7" s="16" t="s">
        <v>293</v>
      </c>
      <c r="D7" s="16" t="s">
        <v>297</v>
      </c>
      <c r="E7" s="16" t="n">
        <v>6</v>
      </c>
      <c r="F7" s="10" t="s">
        <v>304</v>
      </c>
    </row>
    <row r="8" customFormat="false" ht="23.25" hidden="false" customHeight="true" outlineLevel="0" collapsed="false">
      <c r="A8" s="16" t="s">
        <v>305</v>
      </c>
      <c r="B8" s="10" t="s">
        <v>306</v>
      </c>
      <c r="C8" s="16" t="s">
        <v>297</v>
      </c>
      <c r="D8" s="16" t="s">
        <v>307</v>
      </c>
      <c r="E8" s="16" t="n">
        <v>2</v>
      </c>
      <c r="F8" s="10" t="s">
        <v>308</v>
      </c>
    </row>
    <row r="9" customFormat="false" ht="23.25" hidden="false" customHeight="true" outlineLevel="0" collapsed="false">
      <c r="A9" s="16" t="s">
        <v>309</v>
      </c>
      <c r="B9" s="10" t="s">
        <v>310</v>
      </c>
      <c r="C9" s="16" t="s">
        <v>297</v>
      </c>
      <c r="D9" s="16" t="s">
        <v>297</v>
      </c>
      <c r="E9" s="16" t="n">
        <v>4</v>
      </c>
      <c r="F9" s="10" t="s">
        <v>311</v>
      </c>
    </row>
    <row r="10" customFormat="false" ht="23.25" hidden="false" customHeight="true" outlineLevel="0" collapsed="false">
      <c r="A10" s="16" t="s">
        <v>312</v>
      </c>
      <c r="B10" s="10" t="s">
        <v>313</v>
      </c>
      <c r="C10" s="16" t="s">
        <v>297</v>
      </c>
      <c r="D10" s="16" t="s">
        <v>293</v>
      </c>
      <c r="E10" s="16" t="n">
        <v>6</v>
      </c>
      <c r="F10" s="10" t="s">
        <v>314</v>
      </c>
    </row>
  </sheetData>
  <mergeCells count="1">
    <mergeCell ref="A1:F1"/>
  </mergeCells>
  <conditionalFormatting sqref="E4:E10">
    <cfRule type="colorScale" priority="2">
      <colorScale>
        <cfvo type="num" val="1"/>
        <cfvo type="num" val="4"/>
        <cfvo type="num" val="9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14" t="s">
        <v>315</v>
      </c>
      <c r="B1" s="14"/>
      <c r="C1" s="14"/>
      <c r="D1" s="14"/>
      <c r="E1" s="14"/>
      <c r="F1" s="14"/>
      <c r="G1" s="14"/>
    </row>
    <row r="2" customFormat="false" ht="15" hidden="false" customHeight="true" outlineLevel="0" collapsed="false">
      <c r="A2" s="15" t="s">
        <v>316</v>
      </c>
      <c r="B2" s="15"/>
      <c r="C2" s="15"/>
      <c r="D2" s="15"/>
      <c r="E2" s="15"/>
      <c r="F2" s="15"/>
      <c r="G2" s="15"/>
    </row>
    <row r="4" customFormat="false" ht="27.75" hidden="false" customHeight="true" outlineLevel="0" collapsed="false">
      <c r="A4" s="8" t="s">
        <v>163</v>
      </c>
      <c r="B4" s="8" t="s">
        <v>317</v>
      </c>
      <c r="C4" s="8" t="s">
        <v>318</v>
      </c>
      <c r="D4" s="8" t="s">
        <v>319</v>
      </c>
      <c r="E4" s="8" t="s">
        <v>320</v>
      </c>
      <c r="F4" s="8" t="s">
        <v>56</v>
      </c>
      <c r="G4" s="8" t="s">
        <v>264</v>
      </c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0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0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0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0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0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0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0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0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0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0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2026-04-27T19:04:18Z</dcterms:created>
  <dc:creator>openpyxl</dc:creator>
  <dc:description/>
  <dc:language>en-US</dc:language>
  <cp:lastModifiedBy/>
  <dcterms:modified xsi:type="dcterms:W3CDTF">2026-04-27T19:41:26Z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